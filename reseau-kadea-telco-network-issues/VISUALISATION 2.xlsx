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EEXX\DOSSIER Wes\"/>
    </mc:Choice>
  </mc:AlternateContent>
  <xr:revisionPtr revIDLastSave="0" documentId="8_{7B1183CE-29BD-417B-9E32-DFAD6751F84D}" xr6:coauthVersionLast="47" xr6:coauthVersionMax="47" xr10:uidLastSave="{00000000-0000-0000-0000-000000000000}"/>
  <bookViews>
    <workbookView xWindow="-108" yWindow="-108" windowWidth="23256" windowHeight="12456" activeTab="2" xr2:uid="{EA662EC3-4E7A-4208-9152-0FA85F640471}"/>
  </bookViews>
  <sheets>
    <sheet name="LogVsRegistre" sheetId="3" r:id="rId1"/>
    <sheet name="Synthèse Macroscopique" sheetId="4" r:id="rId2"/>
    <sheet name="Clients" sheetId="2" r:id="rId3"/>
  </sheets>
  <externalReferences>
    <externalReference r:id="rId4"/>
  </externalReferences>
  <definedNames>
    <definedName name="DonnéesExternes_1" localSheetId="2" hidden="1">'Clients'!$A$1:$G$751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1" i="3" l="1"/>
  <c r="G501" i="3"/>
  <c r="H500" i="3"/>
  <c r="G500" i="3"/>
  <c r="H499" i="3"/>
  <c r="G499" i="3"/>
  <c r="H498" i="3"/>
  <c r="G498" i="3"/>
  <c r="H497" i="3"/>
  <c r="G497" i="3"/>
  <c r="H496" i="3"/>
  <c r="G496" i="3"/>
  <c r="H495" i="3"/>
  <c r="G495" i="3"/>
  <c r="H494" i="3"/>
  <c r="G494" i="3"/>
  <c r="H493" i="3"/>
  <c r="G493" i="3"/>
  <c r="H492" i="3"/>
  <c r="G492" i="3"/>
  <c r="H491" i="3"/>
  <c r="G491" i="3"/>
  <c r="H490" i="3"/>
  <c r="G490" i="3"/>
  <c r="H489" i="3"/>
  <c r="G489" i="3"/>
  <c r="H488" i="3"/>
  <c r="G488" i="3"/>
  <c r="H487" i="3"/>
  <c r="G487" i="3"/>
  <c r="H486" i="3"/>
  <c r="G486" i="3"/>
  <c r="H485" i="3"/>
  <c r="G485" i="3"/>
  <c r="H484" i="3"/>
  <c r="G484" i="3"/>
  <c r="H483" i="3"/>
  <c r="G483" i="3"/>
  <c r="H482" i="3"/>
  <c r="G482" i="3"/>
  <c r="H481" i="3"/>
  <c r="G481" i="3"/>
  <c r="H480" i="3"/>
  <c r="G480" i="3"/>
  <c r="H479" i="3"/>
  <c r="G479" i="3"/>
  <c r="H478" i="3"/>
  <c r="G478" i="3"/>
  <c r="H477" i="3"/>
  <c r="G477" i="3"/>
  <c r="H476" i="3"/>
  <c r="G476" i="3"/>
  <c r="H475" i="3"/>
  <c r="G475" i="3"/>
  <c r="H474" i="3"/>
  <c r="G474" i="3"/>
  <c r="H473" i="3"/>
  <c r="G473" i="3"/>
  <c r="H472" i="3"/>
  <c r="G472" i="3"/>
  <c r="H471" i="3"/>
  <c r="G471" i="3"/>
  <c r="H470" i="3"/>
  <c r="G470" i="3"/>
  <c r="H469" i="3"/>
  <c r="G469" i="3"/>
  <c r="H468" i="3"/>
  <c r="G468" i="3"/>
  <c r="H467" i="3"/>
  <c r="G467" i="3"/>
  <c r="H466" i="3"/>
  <c r="G466" i="3"/>
  <c r="H465" i="3"/>
  <c r="G465" i="3"/>
  <c r="H464" i="3"/>
  <c r="G464" i="3"/>
  <c r="H463" i="3"/>
  <c r="G463" i="3"/>
  <c r="H462" i="3"/>
  <c r="G462" i="3"/>
  <c r="H461" i="3"/>
  <c r="G461" i="3"/>
  <c r="H460" i="3"/>
  <c r="G460" i="3"/>
  <c r="H459" i="3"/>
  <c r="G459" i="3"/>
  <c r="H458" i="3"/>
  <c r="G458" i="3"/>
  <c r="H457" i="3"/>
  <c r="G457" i="3"/>
  <c r="H456" i="3"/>
  <c r="G456" i="3"/>
  <c r="H455" i="3"/>
  <c r="G455" i="3"/>
  <c r="H454" i="3"/>
  <c r="G454" i="3"/>
  <c r="H453" i="3"/>
  <c r="G453" i="3"/>
  <c r="H452" i="3"/>
  <c r="G452" i="3"/>
  <c r="H451" i="3"/>
  <c r="G451" i="3"/>
  <c r="H450" i="3"/>
  <c r="G450" i="3"/>
  <c r="H449" i="3"/>
  <c r="G449" i="3"/>
  <c r="H448" i="3"/>
  <c r="G448" i="3"/>
  <c r="H447" i="3"/>
  <c r="G447" i="3"/>
  <c r="H446" i="3"/>
  <c r="G446" i="3"/>
  <c r="H445" i="3"/>
  <c r="G445" i="3"/>
  <c r="H444" i="3"/>
  <c r="G444" i="3"/>
  <c r="H443" i="3"/>
  <c r="G443" i="3"/>
  <c r="H442" i="3"/>
  <c r="G442" i="3"/>
  <c r="H441" i="3"/>
  <c r="G441" i="3"/>
  <c r="H440" i="3"/>
  <c r="G440" i="3"/>
  <c r="H439" i="3"/>
  <c r="G439" i="3"/>
  <c r="H438" i="3"/>
  <c r="G438" i="3"/>
  <c r="H437" i="3"/>
  <c r="G437" i="3"/>
  <c r="H436" i="3"/>
  <c r="G436" i="3"/>
  <c r="H435" i="3"/>
  <c r="G435" i="3"/>
  <c r="H434" i="3"/>
  <c r="G434" i="3"/>
  <c r="H433" i="3"/>
  <c r="G433" i="3"/>
  <c r="H432" i="3"/>
  <c r="G432" i="3"/>
  <c r="H431" i="3"/>
  <c r="G431" i="3"/>
  <c r="H430" i="3"/>
  <c r="G430" i="3"/>
  <c r="H429" i="3"/>
  <c r="G429" i="3"/>
  <c r="H428" i="3"/>
  <c r="G428" i="3"/>
  <c r="H427" i="3"/>
  <c r="G427" i="3"/>
  <c r="H426" i="3"/>
  <c r="G426" i="3"/>
  <c r="H425" i="3"/>
  <c r="G425" i="3"/>
  <c r="H424" i="3"/>
  <c r="G424" i="3"/>
  <c r="H423" i="3"/>
  <c r="G423" i="3"/>
  <c r="H422" i="3"/>
  <c r="G422" i="3"/>
  <c r="H421" i="3"/>
  <c r="G421" i="3"/>
  <c r="H420" i="3"/>
  <c r="G420" i="3"/>
  <c r="H419" i="3"/>
  <c r="G419" i="3"/>
  <c r="H418" i="3"/>
  <c r="G418" i="3"/>
  <c r="H417" i="3"/>
  <c r="G417" i="3"/>
  <c r="H416" i="3"/>
  <c r="G416" i="3"/>
  <c r="H415" i="3"/>
  <c r="G415" i="3"/>
  <c r="H414" i="3"/>
  <c r="G414" i="3"/>
  <c r="H413" i="3"/>
  <c r="G413" i="3"/>
  <c r="H412" i="3"/>
  <c r="G412" i="3"/>
  <c r="H411" i="3"/>
  <c r="G411" i="3"/>
  <c r="H410" i="3"/>
  <c r="G410" i="3"/>
  <c r="H409" i="3"/>
  <c r="G409" i="3"/>
  <c r="H408" i="3"/>
  <c r="G408" i="3"/>
  <c r="H407" i="3"/>
  <c r="G407" i="3"/>
  <c r="H406" i="3"/>
  <c r="G406" i="3"/>
  <c r="H405" i="3"/>
  <c r="G405" i="3"/>
  <c r="H404" i="3"/>
  <c r="G404" i="3"/>
  <c r="H403" i="3"/>
  <c r="G403" i="3"/>
  <c r="H402" i="3"/>
  <c r="G402" i="3"/>
  <c r="H401" i="3"/>
  <c r="G401" i="3"/>
  <c r="H400" i="3"/>
  <c r="G400" i="3"/>
  <c r="H399" i="3"/>
  <c r="G399" i="3"/>
  <c r="H398" i="3"/>
  <c r="G398" i="3"/>
  <c r="H397" i="3"/>
  <c r="G397" i="3"/>
  <c r="H396" i="3"/>
  <c r="G396" i="3"/>
  <c r="H395" i="3"/>
  <c r="G395" i="3"/>
  <c r="H394" i="3"/>
  <c r="G394" i="3"/>
  <c r="H393" i="3"/>
  <c r="G393" i="3"/>
  <c r="H392" i="3"/>
  <c r="G392" i="3"/>
  <c r="H391" i="3"/>
  <c r="G391" i="3"/>
  <c r="H390" i="3"/>
  <c r="G390" i="3"/>
  <c r="H389" i="3"/>
  <c r="G389" i="3"/>
  <c r="H388" i="3"/>
  <c r="G388" i="3"/>
  <c r="H387" i="3"/>
  <c r="G387" i="3"/>
  <c r="H386" i="3"/>
  <c r="G386" i="3"/>
  <c r="H385" i="3"/>
  <c r="G385" i="3"/>
  <c r="H384" i="3"/>
  <c r="G384" i="3"/>
  <c r="H383" i="3"/>
  <c r="G383" i="3"/>
  <c r="H382" i="3"/>
  <c r="G382" i="3"/>
  <c r="H381" i="3"/>
  <c r="G381" i="3"/>
  <c r="H380" i="3"/>
  <c r="G380" i="3"/>
  <c r="H379" i="3"/>
  <c r="G379" i="3"/>
  <c r="H378" i="3"/>
  <c r="G378" i="3"/>
  <c r="H377" i="3"/>
  <c r="G377" i="3"/>
  <c r="H376" i="3"/>
  <c r="G376" i="3"/>
  <c r="H375" i="3"/>
  <c r="G375" i="3"/>
  <c r="H374" i="3"/>
  <c r="G374" i="3"/>
  <c r="H373" i="3"/>
  <c r="G373" i="3"/>
  <c r="H372" i="3"/>
  <c r="G372" i="3"/>
  <c r="H371" i="3"/>
  <c r="G371" i="3"/>
  <c r="H370" i="3"/>
  <c r="G370" i="3"/>
  <c r="H369" i="3"/>
  <c r="G369" i="3"/>
  <c r="H368" i="3"/>
  <c r="G368" i="3"/>
  <c r="H367" i="3"/>
  <c r="G367" i="3"/>
  <c r="H366" i="3"/>
  <c r="G366" i="3"/>
  <c r="H365" i="3"/>
  <c r="G365" i="3"/>
  <c r="H364" i="3"/>
  <c r="G364" i="3"/>
  <c r="H363" i="3"/>
  <c r="G363" i="3"/>
  <c r="H362" i="3"/>
  <c r="G362" i="3"/>
  <c r="H361" i="3"/>
  <c r="G361" i="3"/>
  <c r="H360" i="3"/>
  <c r="G360" i="3"/>
  <c r="H359" i="3"/>
  <c r="G359" i="3"/>
  <c r="H358" i="3"/>
  <c r="G358" i="3"/>
  <c r="H357" i="3"/>
  <c r="G357" i="3"/>
  <c r="H356" i="3"/>
  <c r="G356" i="3"/>
  <c r="H355" i="3"/>
  <c r="G355" i="3"/>
  <c r="H354" i="3"/>
  <c r="G354" i="3"/>
  <c r="H353" i="3"/>
  <c r="G353" i="3"/>
  <c r="H352" i="3"/>
  <c r="G352" i="3"/>
  <c r="H351" i="3"/>
  <c r="G351" i="3"/>
  <c r="H350" i="3"/>
  <c r="G350" i="3"/>
  <c r="H349" i="3"/>
  <c r="G349" i="3"/>
  <c r="H348" i="3"/>
  <c r="G348" i="3"/>
  <c r="H347" i="3"/>
  <c r="G347" i="3"/>
  <c r="H346" i="3"/>
  <c r="G346" i="3"/>
  <c r="H345" i="3"/>
  <c r="G345" i="3"/>
  <c r="H344" i="3"/>
  <c r="G344" i="3"/>
  <c r="H343" i="3"/>
  <c r="G343" i="3"/>
  <c r="H342" i="3"/>
  <c r="G342" i="3"/>
  <c r="H341" i="3"/>
  <c r="G341" i="3"/>
  <c r="H340" i="3"/>
  <c r="G340" i="3"/>
  <c r="H339" i="3"/>
  <c r="G339" i="3"/>
  <c r="H338" i="3"/>
  <c r="G338" i="3"/>
  <c r="H337" i="3"/>
  <c r="G337" i="3"/>
  <c r="H336" i="3"/>
  <c r="G336" i="3"/>
  <c r="H335" i="3"/>
  <c r="G335" i="3"/>
  <c r="H334" i="3"/>
  <c r="G334" i="3"/>
  <c r="H333" i="3"/>
  <c r="G333" i="3"/>
  <c r="H332" i="3"/>
  <c r="G332" i="3"/>
  <c r="H331" i="3"/>
  <c r="G331" i="3"/>
  <c r="H330" i="3"/>
  <c r="G330" i="3"/>
  <c r="H329" i="3"/>
  <c r="G329" i="3"/>
  <c r="H328" i="3"/>
  <c r="G328" i="3"/>
  <c r="H327" i="3"/>
  <c r="G327" i="3"/>
  <c r="H326" i="3"/>
  <c r="G326" i="3"/>
  <c r="H325" i="3"/>
  <c r="G325" i="3"/>
  <c r="H324" i="3"/>
  <c r="G324" i="3"/>
  <c r="H323" i="3"/>
  <c r="G323" i="3"/>
  <c r="H322" i="3"/>
  <c r="G322" i="3"/>
  <c r="H321" i="3"/>
  <c r="G321" i="3"/>
  <c r="H320" i="3"/>
  <c r="G320" i="3"/>
  <c r="H319" i="3"/>
  <c r="G319" i="3"/>
  <c r="H318" i="3"/>
  <c r="G318" i="3"/>
  <c r="H317" i="3"/>
  <c r="G317" i="3"/>
  <c r="H316" i="3"/>
  <c r="G316" i="3"/>
  <c r="H315" i="3"/>
  <c r="G315" i="3"/>
  <c r="H314" i="3"/>
  <c r="G314" i="3"/>
  <c r="H313" i="3"/>
  <c r="G313" i="3"/>
  <c r="H312" i="3"/>
  <c r="G312" i="3"/>
  <c r="H311" i="3"/>
  <c r="G311" i="3"/>
  <c r="H310" i="3"/>
  <c r="G310" i="3"/>
  <c r="H309" i="3"/>
  <c r="G309" i="3"/>
  <c r="H308" i="3"/>
  <c r="G308" i="3"/>
  <c r="H307" i="3"/>
  <c r="G307" i="3"/>
  <c r="H306" i="3"/>
  <c r="G306" i="3"/>
  <c r="H305" i="3"/>
  <c r="G305" i="3"/>
  <c r="H304" i="3"/>
  <c r="G304" i="3"/>
  <c r="H303" i="3"/>
  <c r="G303" i="3"/>
  <c r="H302" i="3"/>
  <c r="G302" i="3"/>
  <c r="H301" i="3"/>
  <c r="G301" i="3"/>
  <c r="H300" i="3"/>
  <c r="G300" i="3"/>
  <c r="H299" i="3"/>
  <c r="G299" i="3"/>
  <c r="H298" i="3"/>
  <c r="G298" i="3"/>
  <c r="H297" i="3"/>
  <c r="G297" i="3"/>
  <c r="H296" i="3"/>
  <c r="G296" i="3"/>
  <c r="H295" i="3"/>
  <c r="G295" i="3"/>
  <c r="H294" i="3"/>
  <c r="G294" i="3"/>
  <c r="H293" i="3"/>
  <c r="G293" i="3"/>
  <c r="H292" i="3"/>
  <c r="G292" i="3"/>
  <c r="H291" i="3"/>
  <c r="G291" i="3"/>
  <c r="H290" i="3"/>
  <c r="G290" i="3"/>
  <c r="H289" i="3"/>
  <c r="G289" i="3"/>
  <c r="H288" i="3"/>
  <c r="G288" i="3"/>
  <c r="H287" i="3"/>
  <c r="G287" i="3"/>
  <c r="H286" i="3"/>
  <c r="G286" i="3"/>
  <c r="H285" i="3"/>
  <c r="G285" i="3"/>
  <c r="H284" i="3"/>
  <c r="G284" i="3"/>
  <c r="H283" i="3"/>
  <c r="G283" i="3"/>
  <c r="H282" i="3"/>
  <c r="G282" i="3"/>
  <c r="H281" i="3"/>
  <c r="G281" i="3"/>
  <c r="H280" i="3"/>
  <c r="G280" i="3"/>
  <c r="H279" i="3"/>
  <c r="G279" i="3"/>
  <c r="H278" i="3"/>
  <c r="G278" i="3"/>
  <c r="H277" i="3"/>
  <c r="G277" i="3"/>
  <c r="H276" i="3"/>
  <c r="G276" i="3"/>
  <c r="H275" i="3"/>
  <c r="G275" i="3"/>
  <c r="H274" i="3"/>
  <c r="G274" i="3"/>
  <c r="H273" i="3"/>
  <c r="G273" i="3"/>
  <c r="H272" i="3"/>
  <c r="G272" i="3"/>
  <c r="H271" i="3"/>
  <c r="G271" i="3"/>
  <c r="H270" i="3"/>
  <c r="G270" i="3"/>
  <c r="H269" i="3"/>
  <c r="G269" i="3"/>
  <c r="H268" i="3"/>
  <c r="G268" i="3"/>
  <c r="H267" i="3"/>
  <c r="G267" i="3"/>
  <c r="H266" i="3"/>
  <c r="G266" i="3"/>
  <c r="H265" i="3"/>
  <c r="G265" i="3"/>
  <c r="H264" i="3"/>
  <c r="G264" i="3"/>
  <c r="H263" i="3"/>
  <c r="G263" i="3"/>
  <c r="H262" i="3"/>
  <c r="G262" i="3"/>
  <c r="H261" i="3"/>
  <c r="G261" i="3"/>
  <c r="H260" i="3"/>
  <c r="G260" i="3"/>
  <c r="H259" i="3"/>
  <c r="G259" i="3"/>
  <c r="H258" i="3"/>
  <c r="G258" i="3"/>
  <c r="H257" i="3"/>
  <c r="G257" i="3"/>
  <c r="H256" i="3"/>
  <c r="G256" i="3"/>
  <c r="H255" i="3"/>
  <c r="G255" i="3"/>
  <c r="H254" i="3"/>
  <c r="G254" i="3"/>
  <c r="H253" i="3"/>
  <c r="G253" i="3"/>
  <c r="H252" i="3"/>
  <c r="G252" i="3"/>
  <c r="H251" i="3"/>
  <c r="G251" i="3"/>
  <c r="H250" i="3"/>
  <c r="G250" i="3"/>
  <c r="H249" i="3"/>
  <c r="G249" i="3"/>
  <c r="H248" i="3"/>
  <c r="G248" i="3"/>
  <c r="H247" i="3"/>
  <c r="G247" i="3"/>
  <c r="H246" i="3"/>
  <c r="G246" i="3"/>
  <c r="H245" i="3"/>
  <c r="G245" i="3"/>
  <c r="H244" i="3"/>
  <c r="G244" i="3"/>
  <c r="H243" i="3"/>
  <c r="G243" i="3"/>
  <c r="H242" i="3"/>
  <c r="G242" i="3"/>
  <c r="H241" i="3"/>
  <c r="G241" i="3"/>
  <c r="H240" i="3"/>
  <c r="G240" i="3"/>
  <c r="H239" i="3"/>
  <c r="G239" i="3"/>
  <c r="H238" i="3"/>
  <c r="G238" i="3"/>
  <c r="H237" i="3"/>
  <c r="G237" i="3"/>
  <c r="H236" i="3"/>
  <c r="G236" i="3"/>
  <c r="H235" i="3"/>
  <c r="G235" i="3"/>
  <c r="H234" i="3"/>
  <c r="G234" i="3"/>
  <c r="H233" i="3"/>
  <c r="G233" i="3"/>
  <c r="H232" i="3"/>
  <c r="G232" i="3"/>
  <c r="H231" i="3"/>
  <c r="G231" i="3"/>
  <c r="H230" i="3"/>
  <c r="G230" i="3"/>
  <c r="H229" i="3"/>
  <c r="G229" i="3"/>
  <c r="H228" i="3"/>
  <c r="G228" i="3"/>
  <c r="H227" i="3"/>
  <c r="G227" i="3"/>
  <c r="H226" i="3"/>
  <c r="G226" i="3"/>
  <c r="H225" i="3"/>
  <c r="G225" i="3"/>
  <c r="H224" i="3"/>
  <c r="G224" i="3"/>
  <c r="H223" i="3"/>
  <c r="G223" i="3"/>
  <c r="H222" i="3"/>
  <c r="G222" i="3"/>
  <c r="H221" i="3"/>
  <c r="G221" i="3"/>
  <c r="H220" i="3"/>
  <c r="G220" i="3"/>
  <c r="H219" i="3"/>
  <c r="G219" i="3"/>
  <c r="H218" i="3"/>
  <c r="G218" i="3"/>
  <c r="H217" i="3"/>
  <c r="G217" i="3"/>
  <c r="H216" i="3"/>
  <c r="G216" i="3"/>
  <c r="H215" i="3"/>
  <c r="G215" i="3"/>
  <c r="H214" i="3"/>
  <c r="G214" i="3"/>
  <c r="H213" i="3"/>
  <c r="G213" i="3"/>
  <c r="H212" i="3"/>
  <c r="G212" i="3"/>
  <c r="H211" i="3"/>
  <c r="G211" i="3"/>
  <c r="H210" i="3"/>
  <c r="G210" i="3"/>
  <c r="H209" i="3"/>
  <c r="G209" i="3"/>
  <c r="H208" i="3"/>
  <c r="G208" i="3"/>
  <c r="H207" i="3"/>
  <c r="G207" i="3"/>
  <c r="H206" i="3"/>
  <c r="G206" i="3"/>
  <c r="H205" i="3"/>
  <c r="G205" i="3"/>
  <c r="H204" i="3"/>
  <c r="G204" i="3"/>
  <c r="H203" i="3"/>
  <c r="G203" i="3"/>
  <c r="H202" i="3"/>
  <c r="G202" i="3"/>
  <c r="H201" i="3"/>
  <c r="G201" i="3"/>
  <c r="H200" i="3"/>
  <c r="G200" i="3"/>
  <c r="H199" i="3"/>
  <c r="G199" i="3"/>
  <c r="H198" i="3"/>
  <c r="G198" i="3"/>
  <c r="H197" i="3"/>
  <c r="G197" i="3"/>
  <c r="H196" i="3"/>
  <c r="G196" i="3"/>
  <c r="H195" i="3"/>
  <c r="G195" i="3"/>
  <c r="H194" i="3"/>
  <c r="G194" i="3"/>
  <c r="H193" i="3"/>
  <c r="G193" i="3"/>
  <c r="H192" i="3"/>
  <c r="G192" i="3"/>
  <c r="H191" i="3"/>
  <c r="G191" i="3"/>
  <c r="H190" i="3"/>
  <c r="G190" i="3"/>
  <c r="H189" i="3"/>
  <c r="G189" i="3"/>
  <c r="H188" i="3"/>
  <c r="G188" i="3"/>
  <c r="H187" i="3"/>
  <c r="G187" i="3"/>
  <c r="H186" i="3"/>
  <c r="G186" i="3"/>
  <c r="H185" i="3"/>
  <c r="G185" i="3"/>
  <c r="H184" i="3"/>
  <c r="G184" i="3"/>
  <c r="H183" i="3"/>
  <c r="G183" i="3"/>
  <c r="H182" i="3"/>
  <c r="G182" i="3"/>
  <c r="H181" i="3"/>
  <c r="G181" i="3"/>
  <c r="H180" i="3"/>
  <c r="G180" i="3"/>
  <c r="H179" i="3"/>
  <c r="G179" i="3"/>
  <c r="H178" i="3"/>
  <c r="G178" i="3"/>
  <c r="H177" i="3"/>
  <c r="G177" i="3"/>
  <c r="H176" i="3"/>
  <c r="G176" i="3"/>
  <c r="H175" i="3"/>
  <c r="G175" i="3"/>
  <c r="H174" i="3"/>
  <c r="G174" i="3"/>
  <c r="H173" i="3"/>
  <c r="G173" i="3"/>
  <c r="H172" i="3"/>
  <c r="G172" i="3"/>
  <c r="H171" i="3"/>
  <c r="G171" i="3"/>
  <c r="H170" i="3"/>
  <c r="G170" i="3"/>
  <c r="H169" i="3"/>
  <c r="G169" i="3"/>
  <c r="H168" i="3"/>
  <c r="G168" i="3"/>
  <c r="H167" i="3"/>
  <c r="G167" i="3"/>
  <c r="H166" i="3"/>
  <c r="G166" i="3"/>
  <c r="H165" i="3"/>
  <c r="G165" i="3"/>
  <c r="H164" i="3"/>
  <c r="G164" i="3"/>
  <c r="H163" i="3"/>
  <c r="G163" i="3"/>
  <c r="H162" i="3"/>
  <c r="G162" i="3"/>
  <c r="H161" i="3"/>
  <c r="G161" i="3"/>
  <c r="H160" i="3"/>
  <c r="G160" i="3"/>
  <c r="H159" i="3"/>
  <c r="G159" i="3"/>
  <c r="H158" i="3"/>
  <c r="G158" i="3"/>
  <c r="H157" i="3"/>
  <c r="G157" i="3"/>
  <c r="H156" i="3"/>
  <c r="G156" i="3"/>
  <c r="H155" i="3"/>
  <c r="G155" i="3"/>
  <c r="H154" i="3"/>
  <c r="G154" i="3"/>
  <c r="H153" i="3"/>
  <c r="G153" i="3"/>
  <c r="H152" i="3"/>
  <c r="G152" i="3"/>
  <c r="H151" i="3"/>
  <c r="G151" i="3"/>
  <c r="H150" i="3"/>
  <c r="G150" i="3"/>
  <c r="H149" i="3"/>
  <c r="G149" i="3"/>
  <c r="H148" i="3"/>
  <c r="G148" i="3"/>
  <c r="H147" i="3"/>
  <c r="G147" i="3"/>
  <c r="H146" i="3"/>
  <c r="G146" i="3"/>
  <c r="H145" i="3"/>
  <c r="G145" i="3"/>
  <c r="H144" i="3"/>
  <c r="G144" i="3"/>
  <c r="H143" i="3"/>
  <c r="G143" i="3"/>
  <c r="H142" i="3"/>
  <c r="G142" i="3"/>
  <c r="H141" i="3"/>
  <c r="G141" i="3"/>
  <c r="H140" i="3"/>
  <c r="G140" i="3"/>
  <c r="H139" i="3"/>
  <c r="G139" i="3"/>
  <c r="H138" i="3"/>
  <c r="G138" i="3"/>
  <c r="H137" i="3"/>
  <c r="G137" i="3"/>
  <c r="H136" i="3"/>
  <c r="G136" i="3"/>
  <c r="H135" i="3"/>
  <c r="G135" i="3"/>
  <c r="H134" i="3"/>
  <c r="G134" i="3"/>
  <c r="H133" i="3"/>
  <c r="G133" i="3"/>
  <c r="H132" i="3"/>
  <c r="G132" i="3"/>
  <c r="H131" i="3"/>
  <c r="G131" i="3"/>
  <c r="H130" i="3"/>
  <c r="G130" i="3"/>
  <c r="H129" i="3"/>
  <c r="G129" i="3"/>
  <c r="H128" i="3"/>
  <c r="G128" i="3"/>
  <c r="H127" i="3"/>
  <c r="G127" i="3"/>
  <c r="H126" i="3"/>
  <c r="G126" i="3"/>
  <c r="H125" i="3"/>
  <c r="G125" i="3"/>
  <c r="H124" i="3"/>
  <c r="G124" i="3"/>
  <c r="H123" i="3"/>
  <c r="G123" i="3"/>
  <c r="H122" i="3"/>
  <c r="G122" i="3"/>
  <c r="H121" i="3"/>
  <c r="G121" i="3"/>
  <c r="H120" i="3"/>
  <c r="G120" i="3"/>
  <c r="H119" i="3"/>
  <c r="G119" i="3"/>
  <c r="H118" i="3"/>
  <c r="G118" i="3"/>
  <c r="H117" i="3"/>
  <c r="G117" i="3"/>
  <c r="H116" i="3"/>
  <c r="G116" i="3"/>
  <c r="H115" i="3"/>
  <c r="G115" i="3"/>
  <c r="H114" i="3"/>
  <c r="G114" i="3"/>
  <c r="H113" i="3"/>
  <c r="G113" i="3"/>
  <c r="H112" i="3"/>
  <c r="G112" i="3"/>
  <c r="H111" i="3"/>
  <c r="G111" i="3"/>
  <c r="H110" i="3"/>
  <c r="G110" i="3"/>
  <c r="H109" i="3"/>
  <c r="G109" i="3"/>
  <c r="H108" i="3"/>
  <c r="G108" i="3"/>
  <c r="H107" i="3"/>
  <c r="G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11" i="2"/>
  <c r="I111" i="2" s="1"/>
  <c r="H112" i="2"/>
  <c r="I112" i="2" s="1"/>
  <c r="H113" i="2"/>
  <c r="I113" i="2" s="1"/>
  <c r="H114" i="2"/>
  <c r="I114" i="2" s="1"/>
  <c r="H115" i="2"/>
  <c r="I115" i="2" s="1"/>
  <c r="H116" i="2"/>
  <c r="I116" i="2" s="1"/>
  <c r="H117" i="2"/>
  <c r="I117" i="2" s="1"/>
  <c r="H118" i="2"/>
  <c r="I118" i="2" s="1"/>
  <c r="H119" i="2"/>
  <c r="I119" i="2" s="1"/>
  <c r="H120" i="2"/>
  <c r="I120" i="2" s="1"/>
  <c r="H121" i="2"/>
  <c r="I121" i="2" s="1"/>
  <c r="H122" i="2"/>
  <c r="I122" i="2" s="1"/>
  <c r="H123" i="2"/>
  <c r="I123" i="2" s="1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I129" i="2" s="1"/>
  <c r="H130" i="2"/>
  <c r="I130" i="2" s="1"/>
  <c r="H131" i="2"/>
  <c r="I131" i="2" s="1"/>
  <c r="H132" i="2"/>
  <c r="I132" i="2" s="1"/>
  <c r="H133" i="2"/>
  <c r="I133" i="2" s="1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I140" i="2" s="1"/>
  <c r="H141" i="2"/>
  <c r="I141" i="2" s="1"/>
  <c r="H142" i="2"/>
  <c r="I142" i="2" s="1"/>
  <c r="H143" i="2"/>
  <c r="I143" i="2" s="1"/>
  <c r="H144" i="2"/>
  <c r="I144" i="2" s="1"/>
  <c r="H145" i="2"/>
  <c r="I145" i="2" s="1"/>
  <c r="H146" i="2"/>
  <c r="I146" i="2" s="1"/>
  <c r="H147" i="2"/>
  <c r="I147" i="2" s="1"/>
  <c r="H148" i="2"/>
  <c r="I148" i="2" s="1"/>
  <c r="H149" i="2"/>
  <c r="I149" i="2" s="1"/>
  <c r="H150" i="2"/>
  <c r="I150" i="2" s="1"/>
  <c r="H151" i="2"/>
  <c r="I151" i="2" s="1"/>
  <c r="H152" i="2"/>
  <c r="I152" i="2" s="1"/>
  <c r="H153" i="2"/>
  <c r="I153" i="2" s="1"/>
  <c r="H154" i="2"/>
  <c r="I154" i="2" s="1"/>
  <c r="H155" i="2"/>
  <c r="I155" i="2" s="1"/>
  <c r="H156" i="2"/>
  <c r="I156" i="2" s="1"/>
  <c r="H157" i="2"/>
  <c r="I157" i="2" s="1"/>
  <c r="H158" i="2"/>
  <c r="I158" i="2" s="1"/>
  <c r="H159" i="2"/>
  <c r="I159" i="2" s="1"/>
  <c r="H160" i="2"/>
  <c r="I160" i="2" s="1"/>
  <c r="H161" i="2"/>
  <c r="I161" i="2" s="1"/>
  <c r="H162" i="2"/>
  <c r="I162" i="2" s="1"/>
  <c r="H163" i="2"/>
  <c r="I163" i="2" s="1"/>
  <c r="H164" i="2"/>
  <c r="I164" i="2" s="1"/>
  <c r="H165" i="2"/>
  <c r="I165" i="2" s="1"/>
  <c r="H166" i="2"/>
  <c r="I166" i="2" s="1"/>
  <c r="H167" i="2"/>
  <c r="I167" i="2" s="1"/>
  <c r="H168" i="2"/>
  <c r="I168" i="2" s="1"/>
  <c r="H169" i="2"/>
  <c r="I169" i="2" s="1"/>
  <c r="H170" i="2"/>
  <c r="I170" i="2" s="1"/>
  <c r="H171" i="2"/>
  <c r="I171" i="2" s="1"/>
  <c r="H172" i="2"/>
  <c r="I172" i="2" s="1"/>
  <c r="H173" i="2"/>
  <c r="I173" i="2" s="1"/>
  <c r="H174" i="2"/>
  <c r="I174" i="2" s="1"/>
  <c r="H175" i="2"/>
  <c r="I175" i="2" s="1"/>
  <c r="H176" i="2"/>
  <c r="I176" i="2" s="1"/>
  <c r="H177" i="2"/>
  <c r="I177" i="2" s="1"/>
  <c r="H178" i="2"/>
  <c r="I178" i="2" s="1"/>
  <c r="H179" i="2"/>
  <c r="I179" i="2" s="1"/>
  <c r="H180" i="2"/>
  <c r="I180" i="2" s="1"/>
  <c r="H181" i="2"/>
  <c r="I181" i="2" s="1"/>
  <c r="H182" i="2"/>
  <c r="I182" i="2" s="1"/>
  <c r="H183" i="2"/>
  <c r="I183" i="2" s="1"/>
  <c r="H184" i="2"/>
  <c r="I184" i="2" s="1"/>
  <c r="H185" i="2"/>
  <c r="I185" i="2" s="1"/>
  <c r="H186" i="2"/>
  <c r="I186" i="2" s="1"/>
  <c r="H187" i="2"/>
  <c r="I187" i="2" s="1"/>
  <c r="H188" i="2"/>
  <c r="I188" i="2" s="1"/>
  <c r="H189" i="2"/>
  <c r="I189" i="2" s="1"/>
  <c r="H190" i="2"/>
  <c r="I190" i="2" s="1"/>
  <c r="H191" i="2"/>
  <c r="I191" i="2" s="1"/>
  <c r="H192" i="2"/>
  <c r="I192" i="2" s="1"/>
  <c r="H193" i="2"/>
  <c r="I193" i="2" s="1"/>
  <c r="H194" i="2"/>
  <c r="I194" i="2" s="1"/>
  <c r="H195" i="2"/>
  <c r="I195" i="2" s="1"/>
  <c r="H196" i="2"/>
  <c r="I196" i="2" s="1"/>
  <c r="H197" i="2"/>
  <c r="I197" i="2" s="1"/>
  <c r="H198" i="2"/>
  <c r="I198" i="2" s="1"/>
  <c r="H199" i="2"/>
  <c r="I199" i="2" s="1"/>
  <c r="H200" i="2"/>
  <c r="I200" i="2" s="1"/>
  <c r="H201" i="2"/>
  <c r="I201" i="2" s="1"/>
  <c r="H202" i="2"/>
  <c r="I202" i="2" s="1"/>
  <c r="H203" i="2"/>
  <c r="I203" i="2" s="1"/>
  <c r="H204" i="2"/>
  <c r="I204" i="2" s="1"/>
  <c r="H205" i="2"/>
  <c r="I205" i="2" s="1"/>
  <c r="H206" i="2"/>
  <c r="I206" i="2" s="1"/>
  <c r="H207" i="2"/>
  <c r="I207" i="2" s="1"/>
  <c r="H208" i="2"/>
  <c r="I208" i="2" s="1"/>
  <c r="H209" i="2"/>
  <c r="I209" i="2" s="1"/>
  <c r="H210" i="2"/>
  <c r="I210" i="2" s="1"/>
  <c r="H211" i="2"/>
  <c r="I211" i="2" s="1"/>
  <c r="H212" i="2"/>
  <c r="I212" i="2" s="1"/>
  <c r="H213" i="2"/>
  <c r="I213" i="2" s="1"/>
  <c r="H214" i="2"/>
  <c r="I214" i="2" s="1"/>
  <c r="H215" i="2"/>
  <c r="I215" i="2" s="1"/>
  <c r="H216" i="2"/>
  <c r="I216" i="2" s="1"/>
  <c r="H217" i="2"/>
  <c r="I217" i="2" s="1"/>
  <c r="H218" i="2"/>
  <c r="I218" i="2" s="1"/>
  <c r="H219" i="2"/>
  <c r="I219" i="2" s="1"/>
  <c r="H220" i="2"/>
  <c r="I220" i="2" s="1"/>
  <c r="H221" i="2"/>
  <c r="I221" i="2" s="1"/>
  <c r="H222" i="2"/>
  <c r="I222" i="2" s="1"/>
  <c r="H223" i="2"/>
  <c r="I223" i="2" s="1"/>
  <c r="H224" i="2"/>
  <c r="I224" i="2" s="1"/>
  <c r="H225" i="2"/>
  <c r="I225" i="2" s="1"/>
  <c r="H226" i="2"/>
  <c r="I226" i="2" s="1"/>
  <c r="H227" i="2"/>
  <c r="I227" i="2" s="1"/>
  <c r="H228" i="2"/>
  <c r="I228" i="2" s="1"/>
  <c r="H229" i="2"/>
  <c r="I229" i="2" s="1"/>
  <c r="H230" i="2"/>
  <c r="I230" i="2" s="1"/>
  <c r="H231" i="2"/>
  <c r="I231" i="2" s="1"/>
  <c r="H232" i="2"/>
  <c r="I232" i="2" s="1"/>
  <c r="H233" i="2"/>
  <c r="I233" i="2" s="1"/>
  <c r="H234" i="2"/>
  <c r="I234" i="2" s="1"/>
  <c r="H235" i="2"/>
  <c r="I235" i="2" s="1"/>
  <c r="H236" i="2"/>
  <c r="I236" i="2" s="1"/>
  <c r="H237" i="2"/>
  <c r="I237" i="2" s="1"/>
  <c r="H238" i="2"/>
  <c r="I238" i="2" s="1"/>
  <c r="H239" i="2"/>
  <c r="I239" i="2" s="1"/>
  <c r="H240" i="2"/>
  <c r="I240" i="2" s="1"/>
  <c r="H241" i="2"/>
  <c r="I241" i="2" s="1"/>
  <c r="H242" i="2"/>
  <c r="I242" i="2" s="1"/>
  <c r="H243" i="2"/>
  <c r="I243" i="2" s="1"/>
  <c r="H244" i="2"/>
  <c r="I244" i="2" s="1"/>
  <c r="H245" i="2"/>
  <c r="I245" i="2" s="1"/>
  <c r="H246" i="2"/>
  <c r="I246" i="2" s="1"/>
  <c r="H247" i="2"/>
  <c r="I247" i="2" s="1"/>
  <c r="H248" i="2"/>
  <c r="I248" i="2" s="1"/>
  <c r="H249" i="2"/>
  <c r="I249" i="2" s="1"/>
  <c r="H250" i="2"/>
  <c r="I250" i="2" s="1"/>
  <c r="H251" i="2"/>
  <c r="I251" i="2" s="1"/>
  <c r="H252" i="2"/>
  <c r="I252" i="2" s="1"/>
  <c r="H253" i="2"/>
  <c r="I253" i="2" s="1"/>
  <c r="H254" i="2"/>
  <c r="I254" i="2" s="1"/>
  <c r="H255" i="2"/>
  <c r="I255" i="2" s="1"/>
  <c r="H256" i="2"/>
  <c r="I256" i="2" s="1"/>
  <c r="H257" i="2"/>
  <c r="I257" i="2" s="1"/>
  <c r="H258" i="2"/>
  <c r="I258" i="2" s="1"/>
  <c r="H259" i="2"/>
  <c r="I259" i="2" s="1"/>
  <c r="H260" i="2"/>
  <c r="I260" i="2" s="1"/>
  <c r="H261" i="2"/>
  <c r="I261" i="2" s="1"/>
  <c r="H262" i="2"/>
  <c r="I262" i="2" s="1"/>
  <c r="H263" i="2"/>
  <c r="I263" i="2" s="1"/>
  <c r="H264" i="2"/>
  <c r="I264" i="2" s="1"/>
  <c r="H265" i="2"/>
  <c r="I265" i="2" s="1"/>
  <c r="H266" i="2"/>
  <c r="I266" i="2" s="1"/>
  <c r="H267" i="2"/>
  <c r="I267" i="2" s="1"/>
  <c r="H268" i="2"/>
  <c r="I268" i="2" s="1"/>
  <c r="H269" i="2"/>
  <c r="I269" i="2" s="1"/>
  <c r="H270" i="2"/>
  <c r="I270" i="2" s="1"/>
  <c r="H271" i="2"/>
  <c r="I271" i="2" s="1"/>
  <c r="H272" i="2"/>
  <c r="I272" i="2" s="1"/>
  <c r="H273" i="2"/>
  <c r="I273" i="2" s="1"/>
  <c r="H274" i="2"/>
  <c r="I274" i="2" s="1"/>
  <c r="H275" i="2"/>
  <c r="I275" i="2" s="1"/>
  <c r="H276" i="2"/>
  <c r="I276" i="2" s="1"/>
  <c r="H277" i="2"/>
  <c r="I277" i="2" s="1"/>
  <c r="H278" i="2"/>
  <c r="I278" i="2" s="1"/>
  <c r="H279" i="2"/>
  <c r="I279" i="2" s="1"/>
  <c r="H280" i="2"/>
  <c r="I280" i="2" s="1"/>
  <c r="H281" i="2"/>
  <c r="I281" i="2" s="1"/>
  <c r="H282" i="2"/>
  <c r="I282" i="2" s="1"/>
  <c r="H283" i="2"/>
  <c r="I283" i="2" s="1"/>
  <c r="H284" i="2"/>
  <c r="I284" i="2" s="1"/>
  <c r="H285" i="2"/>
  <c r="I285" i="2" s="1"/>
  <c r="H286" i="2"/>
  <c r="I286" i="2" s="1"/>
  <c r="H287" i="2"/>
  <c r="I287" i="2" s="1"/>
  <c r="H288" i="2"/>
  <c r="I288" i="2" s="1"/>
  <c r="H289" i="2"/>
  <c r="I289" i="2" s="1"/>
  <c r="H290" i="2"/>
  <c r="I290" i="2" s="1"/>
  <c r="H291" i="2"/>
  <c r="I291" i="2" s="1"/>
  <c r="H292" i="2"/>
  <c r="I292" i="2" s="1"/>
  <c r="H293" i="2"/>
  <c r="I293" i="2" s="1"/>
  <c r="H294" i="2"/>
  <c r="I294" i="2" s="1"/>
  <c r="H295" i="2"/>
  <c r="I295" i="2" s="1"/>
  <c r="H296" i="2"/>
  <c r="I296" i="2" s="1"/>
  <c r="H297" i="2"/>
  <c r="I297" i="2" s="1"/>
  <c r="H298" i="2"/>
  <c r="I298" i="2" s="1"/>
  <c r="H299" i="2"/>
  <c r="I299" i="2" s="1"/>
  <c r="H300" i="2"/>
  <c r="I300" i="2" s="1"/>
  <c r="H301" i="2"/>
  <c r="I301" i="2" s="1"/>
  <c r="H302" i="2"/>
  <c r="I302" i="2" s="1"/>
  <c r="H303" i="2"/>
  <c r="I303" i="2" s="1"/>
  <c r="H304" i="2"/>
  <c r="I304" i="2" s="1"/>
  <c r="H305" i="2"/>
  <c r="I305" i="2" s="1"/>
  <c r="H306" i="2"/>
  <c r="I306" i="2" s="1"/>
  <c r="H307" i="2"/>
  <c r="I307" i="2" s="1"/>
  <c r="H308" i="2"/>
  <c r="I308" i="2" s="1"/>
  <c r="H309" i="2"/>
  <c r="I309" i="2" s="1"/>
  <c r="H310" i="2"/>
  <c r="I310" i="2" s="1"/>
  <c r="H311" i="2"/>
  <c r="I311" i="2" s="1"/>
  <c r="H312" i="2"/>
  <c r="I312" i="2" s="1"/>
  <c r="H313" i="2"/>
  <c r="I313" i="2" s="1"/>
  <c r="H314" i="2"/>
  <c r="I314" i="2" s="1"/>
  <c r="H315" i="2"/>
  <c r="I315" i="2" s="1"/>
  <c r="H316" i="2"/>
  <c r="I316" i="2" s="1"/>
  <c r="H317" i="2"/>
  <c r="I317" i="2" s="1"/>
  <c r="H318" i="2"/>
  <c r="I318" i="2" s="1"/>
  <c r="H319" i="2"/>
  <c r="I319" i="2" s="1"/>
  <c r="H320" i="2"/>
  <c r="I320" i="2" s="1"/>
  <c r="H321" i="2"/>
  <c r="I321" i="2" s="1"/>
  <c r="H322" i="2"/>
  <c r="I322" i="2" s="1"/>
  <c r="H323" i="2"/>
  <c r="I323" i="2" s="1"/>
  <c r="H324" i="2"/>
  <c r="I324" i="2" s="1"/>
  <c r="H325" i="2"/>
  <c r="I325" i="2" s="1"/>
  <c r="H326" i="2"/>
  <c r="I326" i="2" s="1"/>
  <c r="H327" i="2"/>
  <c r="I327" i="2" s="1"/>
  <c r="H328" i="2"/>
  <c r="I328" i="2" s="1"/>
  <c r="H329" i="2"/>
  <c r="I329" i="2" s="1"/>
  <c r="H330" i="2"/>
  <c r="I330" i="2" s="1"/>
  <c r="H331" i="2"/>
  <c r="I331" i="2" s="1"/>
  <c r="H332" i="2"/>
  <c r="I332" i="2" s="1"/>
  <c r="H333" i="2"/>
  <c r="I333" i="2" s="1"/>
  <c r="H334" i="2"/>
  <c r="I334" i="2" s="1"/>
  <c r="H335" i="2"/>
  <c r="I335" i="2" s="1"/>
  <c r="H336" i="2"/>
  <c r="I336" i="2" s="1"/>
  <c r="H337" i="2"/>
  <c r="I337" i="2" s="1"/>
  <c r="H338" i="2"/>
  <c r="I338" i="2" s="1"/>
  <c r="H339" i="2"/>
  <c r="I339" i="2" s="1"/>
  <c r="H340" i="2"/>
  <c r="I340" i="2" s="1"/>
  <c r="H341" i="2"/>
  <c r="I341" i="2" s="1"/>
  <c r="H342" i="2"/>
  <c r="I342" i="2" s="1"/>
  <c r="H343" i="2"/>
  <c r="I343" i="2" s="1"/>
  <c r="H344" i="2"/>
  <c r="I344" i="2" s="1"/>
  <c r="H345" i="2"/>
  <c r="I345" i="2" s="1"/>
  <c r="H346" i="2"/>
  <c r="I346" i="2" s="1"/>
  <c r="H347" i="2"/>
  <c r="I347" i="2" s="1"/>
  <c r="H348" i="2"/>
  <c r="I348" i="2" s="1"/>
  <c r="H349" i="2"/>
  <c r="I349" i="2" s="1"/>
  <c r="H350" i="2"/>
  <c r="I350" i="2" s="1"/>
  <c r="H351" i="2"/>
  <c r="I351" i="2" s="1"/>
  <c r="H352" i="2"/>
  <c r="I352" i="2" s="1"/>
  <c r="H353" i="2"/>
  <c r="I353" i="2" s="1"/>
  <c r="H354" i="2"/>
  <c r="I354" i="2" s="1"/>
  <c r="H355" i="2"/>
  <c r="I355" i="2" s="1"/>
  <c r="H356" i="2"/>
  <c r="I356" i="2" s="1"/>
  <c r="H357" i="2"/>
  <c r="I357" i="2" s="1"/>
  <c r="H358" i="2"/>
  <c r="I358" i="2" s="1"/>
  <c r="H359" i="2"/>
  <c r="I359" i="2" s="1"/>
  <c r="H360" i="2"/>
  <c r="I360" i="2" s="1"/>
  <c r="H361" i="2"/>
  <c r="I361" i="2" s="1"/>
  <c r="H362" i="2"/>
  <c r="I362" i="2" s="1"/>
  <c r="H363" i="2"/>
  <c r="I363" i="2" s="1"/>
  <c r="H364" i="2"/>
  <c r="I364" i="2" s="1"/>
  <c r="H365" i="2"/>
  <c r="I365" i="2" s="1"/>
  <c r="H366" i="2"/>
  <c r="I366" i="2" s="1"/>
  <c r="H367" i="2"/>
  <c r="I367" i="2" s="1"/>
  <c r="H368" i="2"/>
  <c r="I368" i="2" s="1"/>
  <c r="H369" i="2"/>
  <c r="I369" i="2" s="1"/>
  <c r="H370" i="2"/>
  <c r="I370" i="2" s="1"/>
  <c r="H371" i="2"/>
  <c r="I371" i="2" s="1"/>
  <c r="H372" i="2"/>
  <c r="I372" i="2" s="1"/>
  <c r="H373" i="2"/>
  <c r="I373" i="2" s="1"/>
  <c r="H374" i="2"/>
  <c r="I374" i="2" s="1"/>
  <c r="H375" i="2"/>
  <c r="I375" i="2" s="1"/>
  <c r="H376" i="2"/>
  <c r="I376" i="2" s="1"/>
  <c r="H377" i="2"/>
  <c r="I377" i="2" s="1"/>
  <c r="H378" i="2"/>
  <c r="I378" i="2" s="1"/>
  <c r="H379" i="2"/>
  <c r="I379" i="2" s="1"/>
  <c r="H380" i="2"/>
  <c r="I380" i="2" s="1"/>
  <c r="H381" i="2"/>
  <c r="I381" i="2" s="1"/>
  <c r="H382" i="2"/>
  <c r="I382" i="2" s="1"/>
  <c r="H383" i="2"/>
  <c r="I383" i="2" s="1"/>
  <c r="H384" i="2"/>
  <c r="I384" i="2" s="1"/>
  <c r="H385" i="2"/>
  <c r="I385" i="2" s="1"/>
  <c r="H386" i="2"/>
  <c r="I386" i="2" s="1"/>
  <c r="H387" i="2"/>
  <c r="I387" i="2" s="1"/>
  <c r="H388" i="2"/>
  <c r="I388" i="2" s="1"/>
  <c r="H389" i="2"/>
  <c r="I389" i="2" s="1"/>
  <c r="H390" i="2"/>
  <c r="I390" i="2" s="1"/>
  <c r="H391" i="2"/>
  <c r="I391" i="2" s="1"/>
  <c r="H392" i="2"/>
  <c r="I392" i="2" s="1"/>
  <c r="H393" i="2"/>
  <c r="I393" i="2" s="1"/>
  <c r="H394" i="2"/>
  <c r="I394" i="2" s="1"/>
  <c r="H395" i="2"/>
  <c r="I395" i="2" s="1"/>
  <c r="H396" i="2"/>
  <c r="I396" i="2" s="1"/>
  <c r="H397" i="2"/>
  <c r="I397" i="2" s="1"/>
  <c r="H398" i="2"/>
  <c r="I398" i="2" s="1"/>
  <c r="H399" i="2"/>
  <c r="I399" i="2" s="1"/>
  <c r="H400" i="2"/>
  <c r="I400" i="2" s="1"/>
  <c r="H401" i="2"/>
  <c r="I401" i="2" s="1"/>
  <c r="H402" i="2"/>
  <c r="I402" i="2" s="1"/>
  <c r="H403" i="2"/>
  <c r="I403" i="2" s="1"/>
  <c r="H404" i="2"/>
  <c r="I404" i="2" s="1"/>
  <c r="H405" i="2"/>
  <c r="I405" i="2" s="1"/>
  <c r="H406" i="2"/>
  <c r="I406" i="2" s="1"/>
  <c r="H407" i="2"/>
  <c r="I407" i="2" s="1"/>
  <c r="H408" i="2"/>
  <c r="I408" i="2" s="1"/>
  <c r="H409" i="2"/>
  <c r="I409" i="2" s="1"/>
  <c r="H410" i="2"/>
  <c r="I410" i="2" s="1"/>
  <c r="H411" i="2"/>
  <c r="I411" i="2" s="1"/>
  <c r="H412" i="2"/>
  <c r="I412" i="2" s="1"/>
  <c r="H413" i="2"/>
  <c r="I413" i="2" s="1"/>
  <c r="H414" i="2"/>
  <c r="I414" i="2" s="1"/>
  <c r="H415" i="2"/>
  <c r="I415" i="2" s="1"/>
  <c r="H416" i="2"/>
  <c r="I416" i="2" s="1"/>
  <c r="H417" i="2"/>
  <c r="I417" i="2" s="1"/>
  <c r="H418" i="2"/>
  <c r="I418" i="2" s="1"/>
  <c r="H419" i="2"/>
  <c r="I419" i="2" s="1"/>
  <c r="H420" i="2"/>
  <c r="I420" i="2" s="1"/>
  <c r="H421" i="2"/>
  <c r="I421" i="2" s="1"/>
  <c r="H422" i="2"/>
  <c r="I422" i="2" s="1"/>
  <c r="H423" i="2"/>
  <c r="I423" i="2" s="1"/>
  <c r="H424" i="2"/>
  <c r="I424" i="2" s="1"/>
  <c r="H425" i="2"/>
  <c r="I425" i="2" s="1"/>
  <c r="H426" i="2"/>
  <c r="I426" i="2" s="1"/>
  <c r="H427" i="2"/>
  <c r="I427" i="2" s="1"/>
  <c r="H428" i="2"/>
  <c r="I428" i="2" s="1"/>
  <c r="H429" i="2"/>
  <c r="I429" i="2" s="1"/>
  <c r="H430" i="2"/>
  <c r="I430" i="2" s="1"/>
  <c r="H431" i="2"/>
  <c r="I431" i="2" s="1"/>
  <c r="H432" i="2"/>
  <c r="I432" i="2" s="1"/>
  <c r="H433" i="2"/>
  <c r="I433" i="2" s="1"/>
  <c r="H434" i="2"/>
  <c r="I434" i="2" s="1"/>
  <c r="H435" i="2"/>
  <c r="I435" i="2" s="1"/>
  <c r="H436" i="2"/>
  <c r="I436" i="2" s="1"/>
  <c r="H437" i="2"/>
  <c r="I437" i="2" s="1"/>
  <c r="H438" i="2"/>
  <c r="I438" i="2" s="1"/>
  <c r="H439" i="2"/>
  <c r="I439" i="2" s="1"/>
  <c r="H440" i="2"/>
  <c r="I440" i="2" s="1"/>
  <c r="H441" i="2"/>
  <c r="I441" i="2" s="1"/>
  <c r="H442" i="2"/>
  <c r="I442" i="2" s="1"/>
  <c r="H443" i="2"/>
  <c r="I443" i="2" s="1"/>
  <c r="H444" i="2"/>
  <c r="I444" i="2" s="1"/>
  <c r="H445" i="2"/>
  <c r="I445" i="2" s="1"/>
  <c r="H446" i="2"/>
  <c r="I446" i="2" s="1"/>
  <c r="H447" i="2"/>
  <c r="I447" i="2" s="1"/>
  <c r="H448" i="2"/>
  <c r="I448" i="2" s="1"/>
  <c r="H449" i="2"/>
  <c r="I449" i="2" s="1"/>
  <c r="H450" i="2"/>
  <c r="I450" i="2" s="1"/>
  <c r="H451" i="2"/>
  <c r="I451" i="2" s="1"/>
  <c r="H452" i="2"/>
  <c r="I452" i="2" s="1"/>
  <c r="H453" i="2"/>
  <c r="I453" i="2" s="1"/>
  <c r="H454" i="2"/>
  <c r="I454" i="2" s="1"/>
  <c r="H455" i="2"/>
  <c r="I455" i="2" s="1"/>
  <c r="H456" i="2"/>
  <c r="I456" i="2" s="1"/>
  <c r="H457" i="2"/>
  <c r="I457" i="2" s="1"/>
  <c r="H458" i="2"/>
  <c r="I458" i="2" s="1"/>
  <c r="H459" i="2"/>
  <c r="I459" i="2" s="1"/>
  <c r="H460" i="2"/>
  <c r="I460" i="2" s="1"/>
  <c r="H461" i="2"/>
  <c r="I461" i="2" s="1"/>
  <c r="H462" i="2"/>
  <c r="I462" i="2" s="1"/>
  <c r="H463" i="2"/>
  <c r="I463" i="2" s="1"/>
  <c r="H464" i="2"/>
  <c r="I464" i="2" s="1"/>
  <c r="H465" i="2"/>
  <c r="I465" i="2" s="1"/>
  <c r="H466" i="2"/>
  <c r="I466" i="2" s="1"/>
  <c r="H467" i="2"/>
  <c r="I467" i="2" s="1"/>
  <c r="H468" i="2"/>
  <c r="I468" i="2" s="1"/>
  <c r="H469" i="2"/>
  <c r="I469" i="2" s="1"/>
  <c r="H470" i="2"/>
  <c r="I470" i="2" s="1"/>
  <c r="H471" i="2"/>
  <c r="I471" i="2" s="1"/>
  <c r="H472" i="2"/>
  <c r="I472" i="2" s="1"/>
  <c r="H473" i="2"/>
  <c r="I473" i="2" s="1"/>
  <c r="H474" i="2"/>
  <c r="I474" i="2" s="1"/>
  <c r="H475" i="2"/>
  <c r="I475" i="2" s="1"/>
  <c r="H476" i="2"/>
  <c r="I476" i="2" s="1"/>
  <c r="H477" i="2"/>
  <c r="I477" i="2" s="1"/>
  <c r="H478" i="2"/>
  <c r="I478" i="2" s="1"/>
  <c r="H479" i="2"/>
  <c r="I479" i="2" s="1"/>
  <c r="H480" i="2"/>
  <c r="I480" i="2" s="1"/>
  <c r="H481" i="2"/>
  <c r="I481" i="2" s="1"/>
  <c r="H482" i="2"/>
  <c r="I482" i="2" s="1"/>
  <c r="H483" i="2"/>
  <c r="I483" i="2" s="1"/>
  <c r="H484" i="2"/>
  <c r="I484" i="2" s="1"/>
  <c r="H485" i="2"/>
  <c r="I485" i="2" s="1"/>
  <c r="H486" i="2"/>
  <c r="I486" i="2" s="1"/>
  <c r="H487" i="2"/>
  <c r="I487" i="2" s="1"/>
  <c r="H488" i="2"/>
  <c r="I488" i="2" s="1"/>
  <c r="H489" i="2"/>
  <c r="I489" i="2" s="1"/>
  <c r="H490" i="2"/>
  <c r="I490" i="2" s="1"/>
  <c r="H491" i="2"/>
  <c r="I491" i="2" s="1"/>
  <c r="H492" i="2"/>
  <c r="I492" i="2" s="1"/>
  <c r="H493" i="2"/>
  <c r="I493" i="2" s="1"/>
  <c r="H494" i="2"/>
  <c r="I494" i="2" s="1"/>
  <c r="H495" i="2"/>
  <c r="I495" i="2" s="1"/>
  <c r="H496" i="2"/>
  <c r="I496" i="2" s="1"/>
  <c r="H497" i="2"/>
  <c r="I497" i="2" s="1"/>
  <c r="H498" i="2"/>
  <c r="I498" i="2" s="1"/>
  <c r="H499" i="2"/>
  <c r="I499" i="2" s="1"/>
  <c r="H500" i="2"/>
  <c r="I500" i="2" s="1"/>
  <c r="H501" i="2"/>
  <c r="I501" i="2" s="1"/>
  <c r="H502" i="2"/>
  <c r="I502" i="2" s="1"/>
  <c r="H503" i="2"/>
  <c r="I503" i="2" s="1"/>
  <c r="H504" i="2"/>
  <c r="I504" i="2" s="1"/>
  <c r="H505" i="2"/>
  <c r="I505" i="2" s="1"/>
  <c r="H506" i="2"/>
  <c r="I506" i="2" s="1"/>
  <c r="H507" i="2"/>
  <c r="I507" i="2" s="1"/>
  <c r="H508" i="2"/>
  <c r="I508" i="2" s="1"/>
  <c r="H509" i="2"/>
  <c r="I509" i="2" s="1"/>
  <c r="H510" i="2"/>
  <c r="I510" i="2" s="1"/>
  <c r="H511" i="2"/>
  <c r="I511" i="2" s="1"/>
  <c r="H512" i="2"/>
  <c r="I512" i="2" s="1"/>
  <c r="H513" i="2"/>
  <c r="I513" i="2" s="1"/>
  <c r="H514" i="2"/>
  <c r="I514" i="2" s="1"/>
  <c r="H515" i="2"/>
  <c r="I515" i="2" s="1"/>
  <c r="H516" i="2"/>
  <c r="I516" i="2" s="1"/>
  <c r="H517" i="2"/>
  <c r="I517" i="2" s="1"/>
  <c r="H518" i="2"/>
  <c r="I518" i="2" s="1"/>
  <c r="H519" i="2"/>
  <c r="I519" i="2" s="1"/>
  <c r="H520" i="2"/>
  <c r="I520" i="2" s="1"/>
  <c r="H521" i="2"/>
  <c r="I521" i="2" s="1"/>
  <c r="H522" i="2"/>
  <c r="I522" i="2" s="1"/>
  <c r="H523" i="2"/>
  <c r="I523" i="2" s="1"/>
  <c r="H524" i="2"/>
  <c r="I524" i="2" s="1"/>
  <c r="H525" i="2"/>
  <c r="I525" i="2" s="1"/>
  <c r="H526" i="2"/>
  <c r="I526" i="2" s="1"/>
  <c r="H527" i="2"/>
  <c r="I527" i="2" s="1"/>
  <c r="H528" i="2"/>
  <c r="I528" i="2" s="1"/>
  <c r="H529" i="2"/>
  <c r="I529" i="2" s="1"/>
  <c r="H530" i="2"/>
  <c r="I530" i="2" s="1"/>
  <c r="H531" i="2"/>
  <c r="I531" i="2" s="1"/>
  <c r="H532" i="2"/>
  <c r="I532" i="2" s="1"/>
  <c r="H533" i="2"/>
  <c r="I533" i="2" s="1"/>
  <c r="H534" i="2"/>
  <c r="I534" i="2" s="1"/>
  <c r="H535" i="2"/>
  <c r="I535" i="2" s="1"/>
  <c r="H536" i="2"/>
  <c r="I536" i="2" s="1"/>
  <c r="H537" i="2"/>
  <c r="I537" i="2" s="1"/>
  <c r="H538" i="2"/>
  <c r="I538" i="2" s="1"/>
  <c r="H539" i="2"/>
  <c r="I539" i="2" s="1"/>
  <c r="H540" i="2"/>
  <c r="I540" i="2" s="1"/>
  <c r="H541" i="2"/>
  <c r="I541" i="2" s="1"/>
  <c r="H542" i="2"/>
  <c r="I542" i="2" s="1"/>
  <c r="H543" i="2"/>
  <c r="I543" i="2" s="1"/>
  <c r="H544" i="2"/>
  <c r="I544" i="2" s="1"/>
  <c r="H545" i="2"/>
  <c r="I545" i="2" s="1"/>
  <c r="H546" i="2"/>
  <c r="I546" i="2" s="1"/>
  <c r="H547" i="2"/>
  <c r="I547" i="2" s="1"/>
  <c r="H548" i="2"/>
  <c r="I548" i="2" s="1"/>
  <c r="H549" i="2"/>
  <c r="I549" i="2" s="1"/>
  <c r="H550" i="2"/>
  <c r="I550" i="2" s="1"/>
  <c r="H551" i="2"/>
  <c r="I551" i="2" s="1"/>
  <c r="H552" i="2"/>
  <c r="I552" i="2" s="1"/>
  <c r="H553" i="2"/>
  <c r="I553" i="2" s="1"/>
  <c r="H554" i="2"/>
  <c r="I554" i="2" s="1"/>
  <c r="H555" i="2"/>
  <c r="I555" i="2" s="1"/>
  <c r="H556" i="2"/>
  <c r="I556" i="2" s="1"/>
  <c r="H557" i="2"/>
  <c r="I557" i="2" s="1"/>
  <c r="H558" i="2"/>
  <c r="I558" i="2" s="1"/>
  <c r="H559" i="2"/>
  <c r="I559" i="2" s="1"/>
  <c r="H560" i="2"/>
  <c r="I560" i="2" s="1"/>
  <c r="H561" i="2"/>
  <c r="I561" i="2" s="1"/>
  <c r="H562" i="2"/>
  <c r="I562" i="2" s="1"/>
  <c r="H563" i="2"/>
  <c r="I563" i="2" s="1"/>
  <c r="H564" i="2"/>
  <c r="I564" i="2" s="1"/>
  <c r="H565" i="2"/>
  <c r="I565" i="2" s="1"/>
  <c r="H566" i="2"/>
  <c r="I566" i="2" s="1"/>
  <c r="H567" i="2"/>
  <c r="I567" i="2" s="1"/>
  <c r="H568" i="2"/>
  <c r="I568" i="2" s="1"/>
  <c r="H569" i="2"/>
  <c r="I569" i="2" s="1"/>
  <c r="H570" i="2"/>
  <c r="I570" i="2" s="1"/>
  <c r="H571" i="2"/>
  <c r="I571" i="2" s="1"/>
  <c r="H572" i="2"/>
  <c r="I572" i="2" s="1"/>
  <c r="H573" i="2"/>
  <c r="I573" i="2" s="1"/>
  <c r="H574" i="2"/>
  <c r="I574" i="2" s="1"/>
  <c r="H575" i="2"/>
  <c r="I575" i="2" s="1"/>
  <c r="H576" i="2"/>
  <c r="I576" i="2" s="1"/>
  <c r="H577" i="2"/>
  <c r="I577" i="2" s="1"/>
  <c r="H578" i="2"/>
  <c r="I578" i="2" s="1"/>
  <c r="H579" i="2"/>
  <c r="I579" i="2" s="1"/>
  <c r="H580" i="2"/>
  <c r="I580" i="2" s="1"/>
  <c r="H581" i="2"/>
  <c r="I581" i="2" s="1"/>
  <c r="H582" i="2"/>
  <c r="I582" i="2" s="1"/>
  <c r="H583" i="2"/>
  <c r="I583" i="2" s="1"/>
  <c r="H584" i="2"/>
  <c r="I584" i="2" s="1"/>
  <c r="H585" i="2"/>
  <c r="I585" i="2" s="1"/>
  <c r="H586" i="2"/>
  <c r="I586" i="2" s="1"/>
  <c r="H587" i="2"/>
  <c r="I587" i="2" s="1"/>
  <c r="H588" i="2"/>
  <c r="I588" i="2" s="1"/>
  <c r="H589" i="2"/>
  <c r="I589" i="2" s="1"/>
  <c r="H590" i="2"/>
  <c r="I590" i="2" s="1"/>
  <c r="H591" i="2"/>
  <c r="I591" i="2" s="1"/>
  <c r="H592" i="2"/>
  <c r="I592" i="2" s="1"/>
  <c r="H593" i="2"/>
  <c r="I593" i="2" s="1"/>
  <c r="H594" i="2"/>
  <c r="I594" i="2" s="1"/>
  <c r="H595" i="2"/>
  <c r="I595" i="2" s="1"/>
  <c r="H596" i="2"/>
  <c r="I596" i="2" s="1"/>
  <c r="H597" i="2"/>
  <c r="I597" i="2" s="1"/>
  <c r="H598" i="2"/>
  <c r="I598" i="2" s="1"/>
  <c r="H599" i="2"/>
  <c r="I599" i="2" s="1"/>
  <c r="H600" i="2"/>
  <c r="I600" i="2" s="1"/>
  <c r="H601" i="2"/>
  <c r="I601" i="2" s="1"/>
  <c r="H602" i="2"/>
  <c r="I602" i="2" s="1"/>
  <c r="H603" i="2"/>
  <c r="I603" i="2" s="1"/>
  <c r="H604" i="2"/>
  <c r="I604" i="2" s="1"/>
  <c r="H605" i="2"/>
  <c r="I605" i="2" s="1"/>
  <c r="H606" i="2"/>
  <c r="I606" i="2" s="1"/>
  <c r="H607" i="2"/>
  <c r="I607" i="2" s="1"/>
  <c r="H608" i="2"/>
  <c r="I608" i="2" s="1"/>
  <c r="H609" i="2"/>
  <c r="I609" i="2" s="1"/>
  <c r="H610" i="2"/>
  <c r="I610" i="2" s="1"/>
  <c r="H611" i="2"/>
  <c r="I611" i="2" s="1"/>
  <c r="H612" i="2"/>
  <c r="I612" i="2" s="1"/>
  <c r="H613" i="2"/>
  <c r="I613" i="2" s="1"/>
  <c r="H614" i="2"/>
  <c r="I614" i="2" s="1"/>
  <c r="H615" i="2"/>
  <c r="I615" i="2" s="1"/>
  <c r="H616" i="2"/>
  <c r="I616" i="2" s="1"/>
  <c r="H617" i="2"/>
  <c r="I617" i="2" s="1"/>
  <c r="H618" i="2"/>
  <c r="I618" i="2" s="1"/>
  <c r="H619" i="2"/>
  <c r="I619" i="2" s="1"/>
  <c r="H620" i="2"/>
  <c r="I620" i="2" s="1"/>
  <c r="H621" i="2"/>
  <c r="I621" i="2" s="1"/>
  <c r="H622" i="2"/>
  <c r="I622" i="2" s="1"/>
  <c r="H623" i="2"/>
  <c r="I623" i="2" s="1"/>
  <c r="H624" i="2"/>
  <c r="I624" i="2" s="1"/>
  <c r="H625" i="2"/>
  <c r="I625" i="2" s="1"/>
  <c r="H626" i="2"/>
  <c r="I626" i="2" s="1"/>
  <c r="H627" i="2"/>
  <c r="I627" i="2" s="1"/>
  <c r="H628" i="2"/>
  <c r="I628" i="2" s="1"/>
  <c r="H629" i="2"/>
  <c r="I629" i="2" s="1"/>
  <c r="H630" i="2"/>
  <c r="I630" i="2" s="1"/>
  <c r="H631" i="2"/>
  <c r="I631" i="2" s="1"/>
  <c r="H632" i="2"/>
  <c r="I632" i="2" s="1"/>
  <c r="H633" i="2"/>
  <c r="I633" i="2" s="1"/>
  <c r="H634" i="2"/>
  <c r="I634" i="2" s="1"/>
  <c r="H635" i="2"/>
  <c r="I635" i="2" s="1"/>
  <c r="H636" i="2"/>
  <c r="I636" i="2" s="1"/>
  <c r="H637" i="2"/>
  <c r="I637" i="2" s="1"/>
  <c r="H638" i="2"/>
  <c r="I638" i="2" s="1"/>
  <c r="H639" i="2"/>
  <c r="I639" i="2" s="1"/>
  <c r="H640" i="2"/>
  <c r="I640" i="2" s="1"/>
  <c r="H641" i="2"/>
  <c r="I641" i="2" s="1"/>
  <c r="H642" i="2"/>
  <c r="I642" i="2" s="1"/>
  <c r="H643" i="2"/>
  <c r="I643" i="2" s="1"/>
  <c r="H644" i="2"/>
  <c r="I644" i="2" s="1"/>
  <c r="H645" i="2"/>
  <c r="I645" i="2" s="1"/>
  <c r="H646" i="2"/>
  <c r="I646" i="2" s="1"/>
  <c r="H647" i="2"/>
  <c r="I647" i="2" s="1"/>
  <c r="H648" i="2"/>
  <c r="I648" i="2" s="1"/>
  <c r="H649" i="2"/>
  <c r="I649" i="2" s="1"/>
  <c r="H650" i="2"/>
  <c r="I650" i="2" s="1"/>
  <c r="H651" i="2"/>
  <c r="I651" i="2" s="1"/>
  <c r="H652" i="2"/>
  <c r="I652" i="2" s="1"/>
  <c r="H653" i="2"/>
  <c r="I653" i="2" s="1"/>
  <c r="H654" i="2"/>
  <c r="I654" i="2" s="1"/>
  <c r="H655" i="2"/>
  <c r="I655" i="2" s="1"/>
  <c r="H656" i="2"/>
  <c r="I656" i="2" s="1"/>
  <c r="H657" i="2"/>
  <c r="I657" i="2" s="1"/>
  <c r="H658" i="2"/>
  <c r="I658" i="2" s="1"/>
  <c r="H659" i="2"/>
  <c r="I659" i="2" s="1"/>
  <c r="H660" i="2"/>
  <c r="I660" i="2" s="1"/>
  <c r="H661" i="2"/>
  <c r="I661" i="2" s="1"/>
  <c r="H662" i="2"/>
  <c r="I662" i="2" s="1"/>
  <c r="H663" i="2"/>
  <c r="I663" i="2" s="1"/>
  <c r="H664" i="2"/>
  <c r="I664" i="2" s="1"/>
  <c r="H665" i="2"/>
  <c r="I665" i="2" s="1"/>
  <c r="H666" i="2"/>
  <c r="I666" i="2" s="1"/>
  <c r="H667" i="2"/>
  <c r="I667" i="2" s="1"/>
  <c r="H668" i="2"/>
  <c r="I668" i="2" s="1"/>
  <c r="H669" i="2"/>
  <c r="I669" i="2" s="1"/>
  <c r="H670" i="2"/>
  <c r="I670" i="2" s="1"/>
  <c r="H671" i="2"/>
  <c r="I671" i="2" s="1"/>
  <c r="H672" i="2"/>
  <c r="I672" i="2" s="1"/>
  <c r="H673" i="2"/>
  <c r="I673" i="2" s="1"/>
  <c r="H674" i="2"/>
  <c r="I674" i="2" s="1"/>
  <c r="H675" i="2"/>
  <c r="I675" i="2" s="1"/>
  <c r="H676" i="2"/>
  <c r="I676" i="2" s="1"/>
  <c r="H677" i="2"/>
  <c r="I677" i="2" s="1"/>
  <c r="H678" i="2"/>
  <c r="I678" i="2" s="1"/>
  <c r="H679" i="2"/>
  <c r="I679" i="2" s="1"/>
  <c r="H680" i="2"/>
  <c r="I680" i="2" s="1"/>
  <c r="H681" i="2"/>
  <c r="I681" i="2" s="1"/>
  <c r="H682" i="2"/>
  <c r="I682" i="2" s="1"/>
  <c r="H683" i="2"/>
  <c r="I683" i="2" s="1"/>
  <c r="H684" i="2"/>
  <c r="I684" i="2" s="1"/>
  <c r="H685" i="2"/>
  <c r="I685" i="2" s="1"/>
  <c r="H686" i="2"/>
  <c r="I686" i="2" s="1"/>
  <c r="H687" i="2"/>
  <c r="I687" i="2" s="1"/>
  <c r="H688" i="2"/>
  <c r="I688" i="2" s="1"/>
  <c r="H689" i="2"/>
  <c r="I689" i="2" s="1"/>
  <c r="H690" i="2"/>
  <c r="I690" i="2" s="1"/>
  <c r="H691" i="2"/>
  <c r="I691" i="2" s="1"/>
  <c r="H692" i="2"/>
  <c r="I692" i="2" s="1"/>
  <c r="H693" i="2"/>
  <c r="I693" i="2" s="1"/>
  <c r="H694" i="2"/>
  <c r="I694" i="2" s="1"/>
  <c r="H695" i="2"/>
  <c r="I695" i="2" s="1"/>
  <c r="H696" i="2"/>
  <c r="I696" i="2" s="1"/>
  <c r="H697" i="2"/>
  <c r="I697" i="2" s="1"/>
  <c r="H698" i="2"/>
  <c r="I698" i="2" s="1"/>
  <c r="H699" i="2"/>
  <c r="I699" i="2" s="1"/>
  <c r="H700" i="2"/>
  <c r="I700" i="2" s="1"/>
  <c r="H701" i="2"/>
  <c r="I701" i="2" s="1"/>
  <c r="H702" i="2"/>
  <c r="I702" i="2" s="1"/>
  <c r="H703" i="2"/>
  <c r="I703" i="2" s="1"/>
  <c r="H704" i="2"/>
  <c r="I704" i="2" s="1"/>
  <c r="H705" i="2"/>
  <c r="I705" i="2" s="1"/>
  <c r="H706" i="2"/>
  <c r="I706" i="2" s="1"/>
  <c r="H707" i="2"/>
  <c r="I707" i="2" s="1"/>
  <c r="H708" i="2"/>
  <c r="I708" i="2" s="1"/>
  <c r="H709" i="2"/>
  <c r="I709" i="2" s="1"/>
  <c r="H710" i="2"/>
  <c r="I710" i="2" s="1"/>
  <c r="H711" i="2"/>
  <c r="I711" i="2" s="1"/>
  <c r="H712" i="2"/>
  <c r="I712" i="2" s="1"/>
  <c r="H713" i="2"/>
  <c r="I713" i="2" s="1"/>
  <c r="H714" i="2"/>
  <c r="I714" i="2" s="1"/>
  <c r="H715" i="2"/>
  <c r="I715" i="2" s="1"/>
  <c r="H716" i="2"/>
  <c r="I716" i="2" s="1"/>
  <c r="H717" i="2"/>
  <c r="I717" i="2" s="1"/>
  <c r="H718" i="2"/>
  <c r="I718" i="2" s="1"/>
  <c r="H719" i="2"/>
  <c r="I719" i="2" s="1"/>
  <c r="H720" i="2"/>
  <c r="I720" i="2" s="1"/>
  <c r="H721" i="2"/>
  <c r="I721" i="2" s="1"/>
  <c r="H722" i="2"/>
  <c r="I722" i="2" s="1"/>
  <c r="H723" i="2"/>
  <c r="I723" i="2" s="1"/>
  <c r="H724" i="2"/>
  <c r="I724" i="2" s="1"/>
  <c r="H725" i="2"/>
  <c r="I725" i="2" s="1"/>
  <c r="H726" i="2"/>
  <c r="I726" i="2" s="1"/>
  <c r="H727" i="2"/>
  <c r="I727" i="2" s="1"/>
  <c r="H728" i="2"/>
  <c r="I728" i="2" s="1"/>
  <c r="H729" i="2"/>
  <c r="I729" i="2" s="1"/>
  <c r="H730" i="2"/>
  <c r="I730" i="2" s="1"/>
  <c r="H731" i="2"/>
  <c r="I731" i="2" s="1"/>
  <c r="H732" i="2"/>
  <c r="I732" i="2" s="1"/>
  <c r="H733" i="2"/>
  <c r="I733" i="2" s="1"/>
  <c r="H734" i="2"/>
  <c r="I734" i="2" s="1"/>
  <c r="H735" i="2"/>
  <c r="I735" i="2" s="1"/>
  <c r="H736" i="2"/>
  <c r="I736" i="2" s="1"/>
  <c r="H737" i="2"/>
  <c r="I737" i="2" s="1"/>
  <c r="H738" i="2"/>
  <c r="I738" i="2" s="1"/>
  <c r="H739" i="2"/>
  <c r="I739" i="2" s="1"/>
  <c r="H740" i="2"/>
  <c r="I740" i="2" s="1"/>
  <c r="H741" i="2"/>
  <c r="I741" i="2" s="1"/>
  <c r="H742" i="2"/>
  <c r="I742" i="2" s="1"/>
  <c r="H743" i="2"/>
  <c r="I743" i="2" s="1"/>
  <c r="H744" i="2"/>
  <c r="I744" i="2" s="1"/>
  <c r="H745" i="2"/>
  <c r="I745" i="2" s="1"/>
  <c r="H746" i="2"/>
  <c r="I746" i="2" s="1"/>
  <c r="H747" i="2"/>
  <c r="I747" i="2" s="1"/>
  <c r="H748" i="2"/>
  <c r="I748" i="2" s="1"/>
  <c r="H749" i="2"/>
  <c r="I749" i="2" s="1"/>
  <c r="H750" i="2"/>
  <c r="I750" i="2" s="1"/>
  <c r="H751" i="2"/>
  <c r="I751" i="2" s="1"/>
  <c r="H2" i="2"/>
  <c r="I2" i="2" s="1"/>
  <c r="G752" i="2"/>
  <c r="E752" i="2"/>
  <c r="F752" i="2"/>
  <c r="D752" i="2"/>
  <c r="I75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6A6D5B-08D3-43C5-A7C5-EC83ABBC268E}" keepAlive="1" name="Requête - Clients" description="Connexion à la requête « Clients » dans le classeur." type="5" refreshedVersion="8" background="1" saveData="1">
    <dbPr connection="Provider=Microsoft.Mashup.OleDb.1;Data Source=$Workbook$;Location=Clients;Extended Properties=&quot;&quot;" command="SELECT * FROM [Clients]"/>
  </connection>
  <connection id="2" xr16:uid="{664BC8F3-2485-4A5B-BEB3-1140B3A90550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1FC5EE11-73B2-4A04-A293-B89978F28373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4" xr16:uid="{9C498469-AF6B-40AC-9ABA-B572517967C3}" keepAlive="1" name="Requête - Sheet1" description="Connexion à la requête « Sheet1 » dans le classeur." type="5" refreshedVersion="0" background="1">
    <dbPr connection="Provider=Microsoft.Mashup.OleDb.1;Data Source=$Workbook$;Location=Sheet1;Extended Properties=&quot;&quot;" command="SELECT * FROM [Sheet1]"/>
  </connection>
  <connection id="5" xr16:uid="{6446FE68-DEB5-4353-AB27-C6CE01A4F40C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6" xr16:uid="{FA3E771E-E2D5-4E50-A0FA-8A623F70B792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<sst xmlns="http://schemas.openxmlformats.org/spreadsheetml/2006/main" count="4306" uniqueCount="1313">
  <si>
    <t>ID_Client</t>
  </si>
  <si>
    <t>Province_Client</t>
  </si>
  <si>
    <t>Type_Forfait</t>
  </si>
  <si>
    <t>Facture_Mensuelle</t>
  </si>
  <si>
    <t>Plaintes_Service_Client</t>
  </si>
  <si>
    <t>CLI-00007</t>
  </si>
  <si>
    <t>Tanganyika</t>
  </si>
  <si>
    <t>Bloqué 5Go</t>
  </si>
  <si>
    <t>CLI-00009</t>
  </si>
  <si>
    <t>Kwilu</t>
  </si>
  <si>
    <t>Pro Monde</t>
  </si>
  <si>
    <t>CLI-00011</t>
  </si>
  <si>
    <t>Mongala</t>
  </si>
  <si>
    <t>Illimité 50Go</t>
  </si>
  <si>
    <t>CLI-00012</t>
  </si>
  <si>
    <t>Kongo-Central</t>
  </si>
  <si>
    <t>CLI-00017</t>
  </si>
  <si>
    <t>CLI-00022</t>
  </si>
  <si>
    <t>Haut-Lomami</t>
  </si>
  <si>
    <t>Premium 5G 150Go</t>
  </si>
  <si>
    <t>CLI-00028</t>
  </si>
  <si>
    <t>CLI-00029</t>
  </si>
  <si>
    <t>Bas-Uele</t>
  </si>
  <si>
    <t>CLI-00033</t>
  </si>
  <si>
    <t>Tshuapa</t>
  </si>
  <si>
    <t>CLI-00034</t>
  </si>
  <si>
    <t>CLI-00037</t>
  </si>
  <si>
    <t>CLI-00039</t>
  </si>
  <si>
    <t>Maniema</t>
  </si>
  <si>
    <t>CLI-00041</t>
  </si>
  <si>
    <t>Ituri</t>
  </si>
  <si>
    <t>CLI-00043</t>
  </si>
  <si>
    <t>Nord-Kivu</t>
  </si>
  <si>
    <t>CLI-00044</t>
  </si>
  <si>
    <t>Lomami</t>
  </si>
  <si>
    <t>CLI-00045</t>
  </si>
  <si>
    <t>CLI-00048</t>
  </si>
  <si>
    <t>CLI-00054</t>
  </si>
  <si>
    <t>Sud-Kivu</t>
  </si>
  <si>
    <t>CLI-00055</t>
  </si>
  <si>
    <t>Haut-Uele</t>
  </si>
  <si>
    <t>CLI-00057</t>
  </si>
  <si>
    <t>Kasai</t>
  </si>
  <si>
    <t>CLI-00059</t>
  </si>
  <si>
    <t>Haut-Katanga</t>
  </si>
  <si>
    <t>CLI-00060</t>
  </si>
  <si>
    <t>Kasai-Central</t>
  </si>
  <si>
    <t>CLI-00070</t>
  </si>
  <si>
    <t>Sud-Ubangi</t>
  </si>
  <si>
    <t>CLI-00072</t>
  </si>
  <si>
    <t>CLI-00074</t>
  </si>
  <si>
    <t>CLI-00076</t>
  </si>
  <si>
    <t>CLI-00083</t>
  </si>
  <si>
    <t>CLI-00084</t>
  </si>
  <si>
    <t>CLI-00085</t>
  </si>
  <si>
    <t>CLI-00087</t>
  </si>
  <si>
    <t>CLI-00090</t>
  </si>
  <si>
    <t>Mai-Ndombe</t>
  </si>
  <si>
    <t>CLI-00091</t>
  </si>
  <si>
    <t>Equateur</t>
  </si>
  <si>
    <t>CLI-00093</t>
  </si>
  <si>
    <t>CLI-00094</t>
  </si>
  <si>
    <t>Kwango</t>
  </si>
  <si>
    <t>CLI-00098</t>
  </si>
  <si>
    <t>CLI-00100</t>
  </si>
  <si>
    <t>Tshopo</t>
  </si>
  <si>
    <t>CLI-00102</t>
  </si>
  <si>
    <t>CLI-00105</t>
  </si>
  <si>
    <t>CLI-00107</t>
  </si>
  <si>
    <t>Kasai-Oriental</t>
  </si>
  <si>
    <t>CLI-00109</t>
  </si>
  <si>
    <t>CLI-00112</t>
  </si>
  <si>
    <t>Nord-Ubangi</t>
  </si>
  <si>
    <t>CLI-00114</t>
  </si>
  <si>
    <t>CLI-00115</t>
  </si>
  <si>
    <t>CLI-00121</t>
  </si>
  <si>
    <t>CLI-00125</t>
  </si>
  <si>
    <t>CLI-00131</t>
  </si>
  <si>
    <t>CLI-00136</t>
  </si>
  <si>
    <t>CLI-00145</t>
  </si>
  <si>
    <t>CLI-00150</t>
  </si>
  <si>
    <t>CLI-00157</t>
  </si>
  <si>
    <t>CLI-00158</t>
  </si>
  <si>
    <t>CLI-00161</t>
  </si>
  <si>
    <t>CLI-00163</t>
  </si>
  <si>
    <t>CLI-00165</t>
  </si>
  <si>
    <t>CLI-00167</t>
  </si>
  <si>
    <t>CLI-00168</t>
  </si>
  <si>
    <t>CLI-00169</t>
  </si>
  <si>
    <t>CLI-00171</t>
  </si>
  <si>
    <t>CLI-00172</t>
  </si>
  <si>
    <t>CLI-00173</t>
  </si>
  <si>
    <t>CLI-00176</t>
  </si>
  <si>
    <t>CLI-00177</t>
  </si>
  <si>
    <t>CLI-00180</t>
  </si>
  <si>
    <t>CLI-00183</t>
  </si>
  <si>
    <t>CLI-00184</t>
  </si>
  <si>
    <t>Kinshasa</t>
  </si>
  <si>
    <t>CLI-00185</t>
  </si>
  <si>
    <t>CLI-00190</t>
  </si>
  <si>
    <t>CLI-00191</t>
  </si>
  <si>
    <t>CLI-00192</t>
  </si>
  <si>
    <t>CLI-00194</t>
  </si>
  <si>
    <t>CLI-00196</t>
  </si>
  <si>
    <t>CLI-00197</t>
  </si>
  <si>
    <t>Sankuru</t>
  </si>
  <si>
    <t>CLI-00206</t>
  </si>
  <si>
    <t>CLI-00211</t>
  </si>
  <si>
    <t>CLI-00218</t>
  </si>
  <si>
    <t>CLI-00219</t>
  </si>
  <si>
    <t>CLI-00221</t>
  </si>
  <si>
    <t>CLI-00227</t>
  </si>
  <si>
    <t>CLI-00230</t>
  </si>
  <si>
    <t>CLI-00231</t>
  </si>
  <si>
    <t>CLI-00232</t>
  </si>
  <si>
    <t>CLI-00234</t>
  </si>
  <si>
    <t>CLI-00238</t>
  </si>
  <si>
    <t>CLI-00239</t>
  </si>
  <si>
    <t>CLI-00240</t>
  </si>
  <si>
    <t>CLI-00241</t>
  </si>
  <si>
    <t>CLI-00243</t>
  </si>
  <si>
    <t>CLI-00247</t>
  </si>
  <si>
    <t>CLI-00248</t>
  </si>
  <si>
    <t>CLI-00250</t>
  </si>
  <si>
    <t>CLI-00251</t>
  </si>
  <si>
    <t>CLI-00254</t>
  </si>
  <si>
    <t>CLI-00257</t>
  </si>
  <si>
    <t>CLI-00262</t>
  </si>
  <si>
    <t>CLI-00265</t>
  </si>
  <si>
    <t>CLI-00267</t>
  </si>
  <si>
    <t>CLI-00269</t>
  </si>
  <si>
    <t>CLI-00271</t>
  </si>
  <si>
    <t>CLI-00273</t>
  </si>
  <si>
    <t>CLI-00274</t>
  </si>
  <si>
    <t>CLI-00277</t>
  </si>
  <si>
    <t>CLI-00279</t>
  </si>
  <si>
    <t>CLI-00280</t>
  </si>
  <si>
    <t>CLI-00288</t>
  </si>
  <si>
    <t>CLI-00291</t>
  </si>
  <si>
    <t>CLI-00296</t>
  </si>
  <si>
    <t>CLI-00297</t>
  </si>
  <si>
    <t>CLI-00298</t>
  </si>
  <si>
    <t>CLI-00299</t>
  </si>
  <si>
    <t>CLI-00304</t>
  </si>
  <si>
    <t>CLI-00305</t>
  </si>
  <si>
    <t>CLI-00306</t>
  </si>
  <si>
    <t>CLI-00310</t>
  </si>
  <si>
    <t>CLI-00313</t>
  </si>
  <si>
    <t>CLI-00315</t>
  </si>
  <si>
    <t>CLI-00316</t>
  </si>
  <si>
    <t>CLI-00318</t>
  </si>
  <si>
    <t>CLI-00324</t>
  </si>
  <si>
    <t>CLI-00327</t>
  </si>
  <si>
    <t>CLI-00329</t>
  </si>
  <si>
    <t>CLI-00331</t>
  </si>
  <si>
    <t>CLI-00334</t>
  </si>
  <si>
    <t>Lualaba</t>
  </si>
  <si>
    <t>CLI-00335</t>
  </si>
  <si>
    <t>CLI-00338</t>
  </si>
  <si>
    <t>CLI-00341</t>
  </si>
  <si>
    <t>CLI-00345</t>
  </si>
  <si>
    <t>CLI-00346</t>
  </si>
  <si>
    <t>CLI-00348</t>
  </si>
  <si>
    <t>CLI-00349</t>
  </si>
  <si>
    <t>CLI-00352</t>
  </si>
  <si>
    <t>CLI-00356</t>
  </si>
  <si>
    <t>CLI-00359</t>
  </si>
  <si>
    <t>CLI-00361</t>
  </si>
  <si>
    <t>CLI-00365</t>
  </si>
  <si>
    <t>CLI-00368</t>
  </si>
  <si>
    <t>CLI-00370</t>
  </si>
  <si>
    <t>CLI-00373</t>
  </si>
  <si>
    <t>CLI-00374</t>
  </si>
  <si>
    <t>CLI-00376</t>
  </si>
  <si>
    <t>CLI-00377</t>
  </si>
  <si>
    <t>CLI-00380</t>
  </si>
  <si>
    <t>CLI-00382</t>
  </si>
  <si>
    <t>CLI-00384</t>
  </si>
  <si>
    <t>CLI-00386</t>
  </si>
  <si>
    <t>CLI-00387</t>
  </si>
  <si>
    <t>CLI-00388</t>
  </si>
  <si>
    <t>CLI-00391</t>
  </si>
  <si>
    <t>CLI-00394</t>
  </si>
  <si>
    <t>CLI-00407</t>
  </si>
  <si>
    <t>CLI-00410</t>
  </si>
  <si>
    <t>CLI-00413</t>
  </si>
  <si>
    <t>CLI-00414</t>
  </si>
  <si>
    <t>CLI-00417</t>
  </si>
  <si>
    <t>CLI-00418</t>
  </si>
  <si>
    <t>CLI-00424</t>
  </si>
  <si>
    <t>CLI-00427</t>
  </si>
  <si>
    <t>CLI-00429</t>
  </si>
  <si>
    <t>CLI-00431</t>
  </si>
  <si>
    <t>CLI-00433</t>
  </si>
  <si>
    <t>CLI-00435</t>
  </si>
  <si>
    <t>CLI-00439</t>
  </si>
  <si>
    <t>CLI-00442</t>
  </si>
  <si>
    <t>CLI-00447</t>
  </si>
  <si>
    <t>CLI-00450</t>
  </si>
  <si>
    <t>CLI-00460</t>
  </si>
  <si>
    <t>CLI-00469</t>
  </si>
  <si>
    <t>CLI-00471</t>
  </si>
  <si>
    <t>CLI-00475</t>
  </si>
  <si>
    <t>CLI-00476</t>
  </si>
  <si>
    <t>CLI-00481</t>
  </si>
  <si>
    <t>CLI-00483</t>
  </si>
  <si>
    <t>CLI-00484</t>
  </si>
  <si>
    <t>CLI-00485</t>
  </si>
  <si>
    <t>CLI-00488</t>
  </si>
  <si>
    <t>CLI-00491</t>
  </si>
  <si>
    <t>CLI-00492</t>
  </si>
  <si>
    <t>CLI-00496</t>
  </si>
  <si>
    <t>CLI-00497</t>
  </si>
  <si>
    <t>CLI-00505</t>
  </si>
  <si>
    <t>CLI-00509</t>
  </si>
  <si>
    <t>CLI-00510</t>
  </si>
  <si>
    <t>CLI-00512</t>
  </si>
  <si>
    <t>CLI-00516</t>
  </si>
  <si>
    <t>CLI-00519</t>
  </si>
  <si>
    <t>CLI-00520</t>
  </si>
  <si>
    <t>CLI-00521</t>
  </si>
  <si>
    <t>CLI-00522</t>
  </si>
  <si>
    <t>CLI-00523</t>
  </si>
  <si>
    <t>CLI-00524</t>
  </si>
  <si>
    <t>CLI-00525</t>
  </si>
  <si>
    <t>CLI-00530</t>
  </si>
  <si>
    <t>CLI-00532</t>
  </si>
  <si>
    <t>CLI-00533</t>
  </si>
  <si>
    <t>CLI-00534</t>
  </si>
  <si>
    <t>CLI-00535</t>
  </si>
  <si>
    <t>CLI-00537</t>
  </si>
  <si>
    <t>CLI-00540</t>
  </si>
  <si>
    <t>CLI-00541</t>
  </si>
  <si>
    <t>CLI-00543</t>
  </si>
  <si>
    <t>CLI-00546</t>
  </si>
  <si>
    <t>CLI-00549</t>
  </si>
  <si>
    <t>CLI-00550</t>
  </si>
  <si>
    <t>CLI-00552</t>
  </si>
  <si>
    <t>CLI-00559</t>
  </si>
  <si>
    <t>CLI-00562</t>
  </si>
  <si>
    <t>CLI-00563</t>
  </si>
  <si>
    <t>CLI-00569</t>
  </si>
  <si>
    <t>CLI-00576</t>
  </si>
  <si>
    <t>CLI-00578</t>
  </si>
  <si>
    <t>CLI-00580</t>
  </si>
  <si>
    <t>CLI-00582</t>
  </si>
  <si>
    <t>CLI-00583</t>
  </si>
  <si>
    <t>CLI-00584</t>
  </si>
  <si>
    <t>CLI-00590</t>
  </si>
  <si>
    <t>CLI-00595</t>
  </si>
  <si>
    <t>CLI-00596</t>
  </si>
  <si>
    <t>CLI-00601</t>
  </si>
  <si>
    <t>CLI-00604</t>
  </si>
  <si>
    <t>CLI-00606</t>
  </si>
  <si>
    <t>CLI-00610</t>
  </si>
  <si>
    <t>CLI-00611</t>
  </si>
  <si>
    <t>CLI-00612</t>
  </si>
  <si>
    <t>CLI-00616</t>
  </si>
  <si>
    <t>CLI-00617</t>
  </si>
  <si>
    <t>CLI-00620</t>
  </si>
  <si>
    <t>CLI-00621</t>
  </si>
  <si>
    <t>CLI-00626</t>
  </si>
  <si>
    <t>CLI-00632</t>
  </si>
  <si>
    <t>CLI-00634</t>
  </si>
  <si>
    <t>CLI-00636</t>
  </si>
  <si>
    <t>CLI-00642</t>
  </si>
  <si>
    <t>CLI-00643</t>
  </si>
  <si>
    <t>CLI-00647</t>
  </si>
  <si>
    <t>CLI-00649</t>
  </si>
  <si>
    <t>CLI-00650</t>
  </si>
  <si>
    <t>CLI-00655</t>
  </si>
  <si>
    <t>CLI-00662</t>
  </si>
  <si>
    <t>CLI-00663</t>
  </si>
  <si>
    <t>CLI-00666</t>
  </si>
  <si>
    <t>CLI-00670</t>
  </si>
  <si>
    <t>CLI-00671</t>
  </si>
  <si>
    <t>CLI-00674</t>
  </si>
  <si>
    <t>CLI-00675</t>
  </si>
  <si>
    <t>CLI-00682</t>
  </si>
  <si>
    <t>CLI-00684</t>
  </si>
  <si>
    <t>CLI-00695</t>
  </si>
  <si>
    <t>CLI-00700</t>
  </si>
  <si>
    <t>CLI-00705</t>
  </si>
  <si>
    <t>CLI-00711</t>
  </si>
  <si>
    <t>CLI-00716</t>
  </si>
  <si>
    <t>CLI-00721</t>
  </si>
  <si>
    <t>CLI-00726</t>
  </si>
  <si>
    <t>CLI-00728</t>
  </si>
  <si>
    <t>CLI-00731</t>
  </si>
  <si>
    <t>CLI-00736</t>
  </si>
  <si>
    <t>CLI-00739</t>
  </si>
  <si>
    <t>CLI-00744</t>
  </si>
  <si>
    <t>CLI-00745</t>
  </si>
  <si>
    <t>CLI-00753</t>
  </si>
  <si>
    <t>CLI-00754</t>
  </si>
  <si>
    <t>CLI-00755</t>
  </si>
  <si>
    <t>CLI-00758</t>
  </si>
  <si>
    <t>CLI-00760</t>
  </si>
  <si>
    <t>CLI-00766</t>
  </si>
  <si>
    <t>CLI-00768</t>
  </si>
  <si>
    <t>CLI-00773</t>
  </si>
  <si>
    <t>CLI-00781</t>
  </si>
  <si>
    <t>CLI-00782</t>
  </si>
  <si>
    <t>CLI-00783</t>
  </si>
  <si>
    <t>CLI-00786</t>
  </si>
  <si>
    <t>CLI-00788</t>
  </si>
  <si>
    <t>CLI-00795</t>
  </si>
  <si>
    <t>CLI-00796</t>
  </si>
  <si>
    <t>CLI-00799</t>
  </si>
  <si>
    <t>CLI-00800</t>
  </si>
  <si>
    <t>CLI-00803</t>
  </si>
  <si>
    <t>CLI-00805</t>
  </si>
  <si>
    <t>CLI-00806</t>
  </si>
  <si>
    <t>CLI-00808</t>
  </si>
  <si>
    <t>CLI-00809</t>
  </si>
  <si>
    <t>CLI-00813</t>
  </si>
  <si>
    <t>CLI-00815</t>
  </si>
  <si>
    <t>CLI-00817</t>
  </si>
  <si>
    <t>CLI-00819</t>
  </si>
  <si>
    <t>CLI-00821</t>
  </si>
  <si>
    <t>CLI-00822</t>
  </si>
  <si>
    <t>CLI-00825</t>
  </si>
  <si>
    <t>CLI-00830</t>
  </si>
  <si>
    <t>CLI-00833</t>
  </si>
  <si>
    <t>CLI-00834</t>
  </si>
  <si>
    <t>CLI-00837</t>
  </si>
  <si>
    <t>CLI-00841</t>
  </si>
  <si>
    <t>CLI-00846</t>
  </si>
  <si>
    <t>CLI-00849</t>
  </si>
  <si>
    <t>CLI-00852</t>
  </si>
  <si>
    <t>CLI-00853</t>
  </si>
  <si>
    <t>CLI-00855</t>
  </si>
  <si>
    <t>CLI-00857</t>
  </si>
  <si>
    <t>CLI-00862</t>
  </si>
  <si>
    <t>CLI-00865</t>
  </si>
  <si>
    <t>CLI-00866</t>
  </si>
  <si>
    <t>CLI-00867</t>
  </si>
  <si>
    <t>CLI-00868</t>
  </si>
  <si>
    <t>CLI-00871</t>
  </si>
  <si>
    <t>CLI-00873</t>
  </si>
  <si>
    <t>CLI-00876</t>
  </si>
  <si>
    <t>CLI-00879</t>
  </si>
  <si>
    <t>CLI-00881</t>
  </si>
  <si>
    <t>CLI-00884</t>
  </si>
  <si>
    <t>CLI-00885</t>
  </si>
  <si>
    <t>CLI-00886</t>
  </si>
  <si>
    <t>CLI-00887</t>
  </si>
  <si>
    <t>CLI-00889</t>
  </si>
  <si>
    <t>CLI-00890</t>
  </si>
  <si>
    <t>CLI-00892</t>
  </si>
  <si>
    <t>CLI-00893</t>
  </si>
  <si>
    <t>CLI-00894</t>
  </si>
  <si>
    <t>CLI-00896</t>
  </si>
  <si>
    <t>CLI-00898</t>
  </si>
  <si>
    <t>CLI-00899</t>
  </si>
  <si>
    <t>CLI-00901</t>
  </si>
  <si>
    <t>CLI-00902</t>
  </si>
  <si>
    <t>CLI-00905</t>
  </si>
  <si>
    <t>CLI-00907</t>
  </si>
  <si>
    <t>CLI-00909</t>
  </si>
  <si>
    <t>CLI-00912</t>
  </si>
  <si>
    <t>CLI-00913</t>
  </si>
  <si>
    <t>CLI-00919</t>
  </si>
  <si>
    <t>CLI-00921</t>
  </si>
  <si>
    <t>CLI-00922</t>
  </si>
  <si>
    <t>CLI-00924</t>
  </si>
  <si>
    <t>CLI-00925</t>
  </si>
  <si>
    <t>CLI-00928</t>
  </si>
  <si>
    <t>CLI-00929</t>
  </si>
  <si>
    <t>CLI-00930</t>
  </si>
  <si>
    <t>CLI-00932</t>
  </si>
  <si>
    <t>CLI-00938</t>
  </si>
  <si>
    <t>CLI-00939</t>
  </si>
  <si>
    <t>CLI-00943</t>
  </si>
  <si>
    <t>CLI-00948</t>
  </si>
  <si>
    <t>CLI-00950</t>
  </si>
  <si>
    <t>CLI-00952</t>
  </si>
  <si>
    <t>CLI-00957</t>
  </si>
  <si>
    <t>CLI-00959</t>
  </si>
  <si>
    <t>CLI-00960</t>
  </si>
  <si>
    <t>CLI-00961</t>
  </si>
  <si>
    <t>CLI-00962</t>
  </si>
  <si>
    <t>CLI-00964</t>
  </si>
  <si>
    <t>CLI-00965</t>
  </si>
  <si>
    <t>CLI-00966</t>
  </si>
  <si>
    <t>CLI-00970</t>
  </si>
  <si>
    <t>CLI-00971</t>
  </si>
  <si>
    <t>CLI-00973</t>
  </si>
  <si>
    <t>CLI-00974</t>
  </si>
  <si>
    <t>CLI-00976</t>
  </si>
  <si>
    <t>CLI-00978</t>
  </si>
  <si>
    <t>CLI-00979</t>
  </si>
  <si>
    <t>CLI-00980</t>
  </si>
  <si>
    <t>CLI-00983</t>
  </si>
  <si>
    <t>CLI-00986</t>
  </si>
  <si>
    <t>CLI-00994</t>
  </si>
  <si>
    <t>CLI-00996</t>
  </si>
  <si>
    <t>CLI-00997</t>
  </si>
  <si>
    <t>CLI-00999</t>
  </si>
  <si>
    <t>CLI-01000</t>
  </si>
  <si>
    <t>CLI-01003</t>
  </si>
  <si>
    <t>CLI-01005</t>
  </si>
  <si>
    <t>CLI-01006</t>
  </si>
  <si>
    <t>CLI-01007</t>
  </si>
  <si>
    <t>CLI-01010</t>
  </si>
  <si>
    <t>CLI-01013</t>
  </si>
  <si>
    <t>CLI-01014</t>
  </si>
  <si>
    <t>CLI-01015</t>
  </si>
  <si>
    <t>CLI-01016</t>
  </si>
  <si>
    <t>CLI-01017</t>
  </si>
  <si>
    <t>CLI-01021</t>
  </si>
  <si>
    <t>CLI-01023</t>
  </si>
  <si>
    <t>CLI-01025</t>
  </si>
  <si>
    <t>CLI-01032</t>
  </si>
  <si>
    <t>CLI-01034</t>
  </si>
  <si>
    <t>CLI-01037</t>
  </si>
  <si>
    <t>CLI-01040</t>
  </si>
  <si>
    <t>CLI-01042</t>
  </si>
  <si>
    <t>CLI-01046</t>
  </si>
  <si>
    <t>CLI-01050</t>
  </si>
  <si>
    <t>CLI-01052</t>
  </si>
  <si>
    <t>CLI-01058</t>
  </si>
  <si>
    <t>CLI-01059</t>
  </si>
  <si>
    <t>CLI-01069</t>
  </si>
  <si>
    <t>CLI-01072</t>
  </si>
  <si>
    <t>CLI-01075</t>
  </si>
  <si>
    <t>CLI-01076</t>
  </si>
  <si>
    <t>CLI-01077</t>
  </si>
  <si>
    <t>CLI-01078</t>
  </si>
  <si>
    <t>CLI-01080</t>
  </si>
  <si>
    <t>CLI-01082</t>
  </si>
  <si>
    <t>CLI-01087</t>
  </si>
  <si>
    <t>CLI-01093</t>
  </si>
  <si>
    <t>CLI-01095</t>
  </si>
  <si>
    <t>CLI-01096</t>
  </si>
  <si>
    <t>CLI-01104</t>
  </si>
  <si>
    <t>CLI-01118</t>
  </si>
  <si>
    <t>CLI-01121</t>
  </si>
  <si>
    <t>CLI-01122</t>
  </si>
  <si>
    <t>CLI-01128</t>
  </si>
  <si>
    <t>CLI-01129</t>
  </si>
  <si>
    <t>CLI-01132</t>
  </si>
  <si>
    <t>CLI-01134</t>
  </si>
  <si>
    <t>CLI-01136</t>
  </si>
  <si>
    <t>CLI-01139</t>
  </si>
  <si>
    <t>CLI-01141</t>
  </si>
  <si>
    <t>CLI-01144</t>
  </si>
  <si>
    <t>CLI-01146</t>
  </si>
  <si>
    <t>CLI-01147</t>
  </si>
  <si>
    <t>CLI-01149</t>
  </si>
  <si>
    <t>CLI-01154</t>
  </si>
  <si>
    <t>CLI-01162</t>
  </si>
  <si>
    <t>CLI-01165</t>
  </si>
  <si>
    <t>CLI-01166</t>
  </si>
  <si>
    <t>CLI-01167</t>
  </si>
  <si>
    <t>CLI-01169</t>
  </si>
  <si>
    <t>CLI-01170</t>
  </si>
  <si>
    <t>CLI-01180</t>
  </si>
  <si>
    <t>CLI-01181</t>
  </si>
  <si>
    <t>CLI-01186</t>
  </si>
  <si>
    <t>CLI-01189</t>
  </si>
  <si>
    <t>CLI-01194</t>
  </si>
  <si>
    <t>CLI-01196</t>
  </si>
  <si>
    <t>CLI-01197</t>
  </si>
  <si>
    <t>CLI-01199</t>
  </si>
  <si>
    <t>CLI-01200</t>
  </si>
  <si>
    <t>CLI-01203</t>
  </si>
  <si>
    <t>CLI-01204</t>
  </si>
  <si>
    <t>CLI-01208</t>
  </si>
  <si>
    <t>CLI-01210</t>
  </si>
  <si>
    <t>CLI-01211</t>
  </si>
  <si>
    <t>CLI-01215</t>
  </si>
  <si>
    <t>CLI-01217</t>
  </si>
  <si>
    <t>CLI-01221</t>
  </si>
  <si>
    <t>CLI-01224</t>
  </si>
  <si>
    <t>CLI-01226</t>
  </si>
  <si>
    <t>CLI-01229</t>
  </si>
  <si>
    <t>CLI-01230</t>
  </si>
  <si>
    <t>CLI-01233</t>
  </si>
  <si>
    <t>CLI-01234</t>
  </si>
  <si>
    <t>CLI-01236</t>
  </si>
  <si>
    <t>CLI-01238</t>
  </si>
  <si>
    <t>CLI-01241</t>
  </si>
  <si>
    <t>CLI-01242</t>
  </si>
  <si>
    <t>CLI-01253</t>
  </si>
  <si>
    <t>CLI-01254</t>
  </si>
  <si>
    <t>CLI-01256</t>
  </si>
  <si>
    <t>CLI-01258</t>
  </si>
  <si>
    <t>CLI-01264</t>
  </si>
  <si>
    <t>CLI-01266</t>
  </si>
  <si>
    <t>CLI-01267</t>
  </si>
  <si>
    <t>CLI-01270</t>
  </si>
  <si>
    <t>CLI-01275</t>
  </si>
  <si>
    <t>CLI-01278</t>
  </si>
  <si>
    <t>CLI-01283</t>
  </si>
  <si>
    <t>CLI-01284</t>
  </si>
  <si>
    <t>CLI-01287</t>
  </si>
  <si>
    <t>CLI-01290</t>
  </si>
  <si>
    <t>CLI-01291</t>
  </si>
  <si>
    <t>CLI-01292</t>
  </si>
  <si>
    <t>CLI-01294</t>
  </si>
  <si>
    <t>CLI-01304</t>
  </si>
  <si>
    <t>CLI-01309</t>
  </si>
  <si>
    <t>CLI-01313</t>
  </si>
  <si>
    <t>CLI-01314</t>
  </si>
  <si>
    <t>CLI-01319</t>
  </si>
  <si>
    <t>CLI-01320</t>
  </si>
  <si>
    <t>CLI-01322</t>
  </si>
  <si>
    <t>CLI-01325</t>
  </si>
  <si>
    <t>CLI-01326</t>
  </si>
  <si>
    <t>CLI-01327</t>
  </si>
  <si>
    <t>CLI-01329</t>
  </si>
  <si>
    <t>CLI-01330</t>
  </si>
  <si>
    <t>CLI-01339</t>
  </si>
  <si>
    <t>CLI-01340</t>
  </si>
  <si>
    <t>CLI-01344</t>
  </si>
  <si>
    <t>CLI-01347</t>
  </si>
  <si>
    <t>CLI-01348</t>
  </si>
  <si>
    <t>CLI-01349</t>
  </si>
  <si>
    <t>CLI-01351</t>
  </si>
  <si>
    <t>CLI-01354</t>
  </si>
  <si>
    <t>CLI-01355</t>
  </si>
  <si>
    <t>CLI-01357</t>
  </si>
  <si>
    <t>CLI-01359</t>
  </si>
  <si>
    <t>CLI-01360</t>
  </si>
  <si>
    <t>CLI-01361</t>
  </si>
  <si>
    <t>CLI-01363</t>
  </si>
  <si>
    <t>CLI-01373</t>
  </si>
  <si>
    <t>CLI-01374</t>
  </si>
  <si>
    <t>CLI-01375</t>
  </si>
  <si>
    <t>CLI-01376</t>
  </si>
  <si>
    <t>CLI-01380</t>
  </si>
  <si>
    <t>CLI-01386</t>
  </si>
  <si>
    <t>CLI-01387</t>
  </si>
  <si>
    <t>CLI-01394</t>
  </si>
  <si>
    <t>CLI-01396</t>
  </si>
  <si>
    <t>CLI-01399</t>
  </si>
  <si>
    <t>CLI-01402</t>
  </si>
  <si>
    <t>CLI-01403</t>
  </si>
  <si>
    <t>CLI-01404</t>
  </si>
  <si>
    <t>CLI-01405</t>
  </si>
  <si>
    <t>CLI-01406</t>
  </si>
  <si>
    <t>CLI-01407</t>
  </si>
  <si>
    <t>CLI-01408</t>
  </si>
  <si>
    <t>CLI-01410</t>
  </si>
  <si>
    <t>CLI-01415</t>
  </si>
  <si>
    <t>CLI-01419</t>
  </si>
  <si>
    <t>CLI-01420</t>
  </si>
  <si>
    <t>CLI-01424</t>
  </si>
  <si>
    <t>CLI-01431</t>
  </si>
  <si>
    <t>CLI-01432</t>
  </si>
  <si>
    <t>CLI-01433</t>
  </si>
  <si>
    <t>CLI-01435</t>
  </si>
  <si>
    <t>CLI-01436</t>
  </si>
  <si>
    <t>CLI-01437</t>
  </si>
  <si>
    <t>CLI-01438</t>
  </si>
  <si>
    <t>CLI-01442</t>
  </si>
  <si>
    <t>CLI-01446</t>
  </si>
  <si>
    <t>CLI-01450</t>
  </si>
  <si>
    <t>CLI-01451</t>
  </si>
  <si>
    <t>CLI-01453</t>
  </si>
  <si>
    <t>CLI-01454</t>
  </si>
  <si>
    <t>CLI-01455</t>
  </si>
  <si>
    <t>CLI-01461</t>
  </si>
  <si>
    <t>CLI-01462</t>
  </si>
  <si>
    <t>CLI-01463</t>
  </si>
  <si>
    <t>CLI-01466</t>
  </si>
  <si>
    <t>CLI-01470</t>
  </si>
  <si>
    <t>CLI-01472</t>
  </si>
  <si>
    <t>CLI-01473</t>
  </si>
  <si>
    <t>CLI-01475</t>
  </si>
  <si>
    <t>CLI-01479</t>
  </si>
  <si>
    <t>CLI-01480</t>
  </si>
  <si>
    <t>CLI-01484</t>
  </si>
  <si>
    <t>CLI-01485</t>
  </si>
  <si>
    <t>CLI-01488</t>
  </si>
  <si>
    <t>CLI-01489</t>
  </si>
  <si>
    <t>CLI-01494</t>
  </si>
  <si>
    <t>CLI-01496</t>
  </si>
  <si>
    <t>CLI-01499</t>
  </si>
  <si>
    <t>CLI-01503</t>
  </si>
  <si>
    <t>CLI-01505</t>
  </si>
  <si>
    <t>CLI-01506</t>
  </si>
  <si>
    <t>CLI-01507</t>
  </si>
  <si>
    <t>CLI-01508</t>
  </si>
  <si>
    <t>CLI-01510</t>
  </si>
  <si>
    <t>CLI-01511</t>
  </si>
  <si>
    <t>CLI-01515</t>
  </si>
  <si>
    <t>CLI-01520</t>
  </si>
  <si>
    <t>CLI-01524</t>
  </si>
  <si>
    <t>CLI-01529</t>
  </si>
  <si>
    <t>CLI-01530</t>
  </si>
  <si>
    <t>CLI-01532</t>
  </si>
  <si>
    <t>CLI-01533</t>
  </si>
  <si>
    <t>CLI-01535</t>
  </si>
  <si>
    <t>CLI-01536</t>
  </si>
  <si>
    <t>CLI-01542</t>
  </si>
  <si>
    <t>CLI-01543</t>
  </si>
  <si>
    <t>CLI-01544</t>
  </si>
  <si>
    <t>CLI-01549</t>
  </si>
  <si>
    <t>CLI-01550</t>
  </si>
  <si>
    <t>CLI-01555</t>
  </si>
  <si>
    <t>CLI-01560</t>
  </si>
  <si>
    <t>CLI-01561</t>
  </si>
  <si>
    <t>CLI-01563</t>
  </si>
  <si>
    <t>CLI-01565</t>
  </si>
  <si>
    <t>CLI-01566</t>
  </si>
  <si>
    <t>CLI-01568</t>
  </si>
  <si>
    <t>CLI-01571</t>
  </si>
  <si>
    <t>CLI-01573</t>
  </si>
  <si>
    <t>CLI-01578</t>
  </si>
  <si>
    <t>CLI-01584</t>
  </si>
  <si>
    <t>CLI-01588</t>
  </si>
  <si>
    <t>CLI-01589</t>
  </si>
  <si>
    <t>CLI-01591</t>
  </si>
  <si>
    <t>CLI-01595</t>
  </si>
  <si>
    <t>CLI-01597</t>
  </si>
  <si>
    <t>CLI-01598</t>
  </si>
  <si>
    <t>CLI-01600</t>
  </si>
  <si>
    <t>CLI-01602</t>
  </si>
  <si>
    <t>CLI-01603</t>
  </si>
  <si>
    <t>CLI-01604</t>
  </si>
  <si>
    <t>CLI-01606</t>
  </si>
  <si>
    <t>CLI-01607</t>
  </si>
  <si>
    <t>CLI-01616</t>
  </si>
  <si>
    <t>CLI-01617</t>
  </si>
  <si>
    <t>CLI-01618</t>
  </si>
  <si>
    <t>CLI-01619</t>
  </si>
  <si>
    <t>CLI-01621</t>
  </si>
  <si>
    <t>CLI-01622</t>
  </si>
  <si>
    <t>CLI-01623</t>
  </si>
  <si>
    <t>CLI-01624</t>
  </si>
  <si>
    <t>CLI-01626</t>
  </si>
  <si>
    <t>CLI-01629</t>
  </si>
  <si>
    <t>CLI-01630</t>
  </si>
  <si>
    <t>CLI-01637</t>
  </si>
  <si>
    <t>CLI-01638</t>
  </si>
  <si>
    <t>CLI-01646</t>
  </si>
  <si>
    <t>CLI-01651</t>
  </si>
  <si>
    <t>CLI-01653</t>
  </si>
  <si>
    <t>CLI-01654</t>
  </si>
  <si>
    <t>CLI-01658</t>
  </si>
  <si>
    <t>CLI-01662</t>
  </si>
  <si>
    <t>CLI-01664</t>
  </si>
  <si>
    <t>CLI-01666</t>
  </si>
  <si>
    <t>CLI-01668</t>
  </si>
  <si>
    <t>CLI-01669</t>
  </si>
  <si>
    <t>CLI-01680</t>
  </si>
  <si>
    <t>CLI-01682</t>
  </si>
  <si>
    <t>CLI-01683</t>
  </si>
  <si>
    <t>CLI-01685</t>
  </si>
  <si>
    <t>CLI-01686</t>
  </si>
  <si>
    <t>CLI-01687</t>
  </si>
  <si>
    <t>CLI-01688</t>
  </si>
  <si>
    <t>CLI-01689</t>
  </si>
  <si>
    <t>CLI-01694</t>
  </si>
  <si>
    <t>CLI-01695</t>
  </si>
  <si>
    <t>CLI-01697</t>
  </si>
  <si>
    <t>CLI-01698</t>
  </si>
  <si>
    <t>CLI-01701</t>
  </si>
  <si>
    <t>CLI-01702</t>
  </si>
  <si>
    <t>CLI-01704</t>
  </si>
  <si>
    <t>CLI-01705</t>
  </si>
  <si>
    <t>CLI-01706</t>
  </si>
  <si>
    <t>CLI-01709</t>
  </si>
  <si>
    <t>CLI-01710</t>
  </si>
  <si>
    <t>CLI-01714</t>
  </si>
  <si>
    <t>CLI-01719</t>
  </si>
  <si>
    <t>CLI-01720</t>
  </si>
  <si>
    <t>CLI-01721</t>
  </si>
  <si>
    <t>CLI-01722</t>
  </si>
  <si>
    <t>CLI-01723</t>
  </si>
  <si>
    <t>CLI-01724</t>
  </si>
  <si>
    <t>CLI-01726</t>
  </si>
  <si>
    <t>CLI-01728</t>
  </si>
  <si>
    <t>CLI-01729</t>
  </si>
  <si>
    <t>CLI-01731</t>
  </si>
  <si>
    <t>CLI-01732</t>
  </si>
  <si>
    <t>CLI-01735</t>
  </si>
  <si>
    <t>CLI-01736</t>
  </si>
  <si>
    <t>CLI-01739</t>
  </si>
  <si>
    <t>CLI-01740</t>
  </si>
  <si>
    <t>CLI-01741</t>
  </si>
  <si>
    <t>CLI-01746</t>
  </si>
  <si>
    <t>CLI-01749</t>
  </si>
  <si>
    <t>CLI-01757</t>
  </si>
  <si>
    <t>CLI-01759</t>
  </si>
  <si>
    <t>CLI-01761</t>
  </si>
  <si>
    <t>CLI-01765</t>
  </si>
  <si>
    <t>CLI-01766</t>
  </si>
  <si>
    <t>CLI-01768</t>
  </si>
  <si>
    <t>CLI-01773</t>
  </si>
  <si>
    <t>CLI-01775</t>
  </si>
  <si>
    <t>CLI-01776</t>
  </si>
  <si>
    <t>CLI-01780</t>
  </si>
  <si>
    <t>CLI-01782</t>
  </si>
  <si>
    <t>CLI-01783</t>
  </si>
  <si>
    <t>CLI-01788</t>
  </si>
  <si>
    <t>CLI-01793</t>
  </si>
  <si>
    <t>CLI-01794</t>
  </si>
  <si>
    <t>CLI-01796</t>
  </si>
  <si>
    <t>CLI-01797</t>
  </si>
  <si>
    <t>CLI-01802</t>
  </si>
  <si>
    <t>CLI-01804</t>
  </si>
  <si>
    <t>CLI-01812</t>
  </si>
  <si>
    <t>CLI-01814</t>
  </si>
  <si>
    <t>CLI-01816</t>
  </si>
  <si>
    <t>CLI-01818</t>
  </si>
  <si>
    <t>CLI-01820</t>
  </si>
  <si>
    <t>CLI-01821</t>
  </si>
  <si>
    <t>CLI-01822</t>
  </si>
  <si>
    <t>CLI-01823</t>
  </si>
  <si>
    <t>CLI-01824</t>
  </si>
  <si>
    <t>CLI-01830</t>
  </si>
  <si>
    <t>CLI-01832</t>
  </si>
  <si>
    <t>CLI-01835</t>
  </si>
  <si>
    <t>CLI-01836</t>
  </si>
  <si>
    <t>CLI-01837</t>
  </si>
  <si>
    <t>CLI-01839</t>
  </si>
  <si>
    <t>CLI-01843</t>
  </si>
  <si>
    <t>CLI-01844</t>
  </si>
  <si>
    <t>CLI-01845</t>
  </si>
  <si>
    <t>CLI-01846</t>
  </si>
  <si>
    <t>CLI-01847</t>
  </si>
  <si>
    <t>CLI-01848</t>
  </si>
  <si>
    <t>CLI-01850</t>
  </si>
  <si>
    <t>CLI-01851</t>
  </si>
  <si>
    <t>CLI-01852</t>
  </si>
  <si>
    <t>CLI-01854</t>
  </si>
  <si>
    <t>CLI-01855</t>
  </si>
  <si>
    <t>CLI-01858</t>
  </si>
  <si>
    <t>CLI-01860</t>
  </si>
  <si>
    <t>CLI-01861</t>
  </si>
  <si>
    <t>CLI-01868</t>
  </si>
  <si>
    <t>CLI-01871</t>
  </si>
  <si>
    <t>CLI-01873</t>
  </si>
  <si>
    <t>CLI-01876</t>
  </si>
  <si>
    <t>CLI-01877</t>
  </si>
  <si>
    <t>CLI-01880</t>
  </si>
  <si>
    <t>CLI-01885</t>
  </si>
  <si>
    <t>CLI-01888</t>
  </si>
  <si>
    <t>CLI-01890</t>
  </si>
  <si>
    <t>CLI-01891</t>
  </si>
  <si>
    <t>CLI-01893</t>
  </si>
  <si>
    <t>CLI-01906</t>
  </si>
  <si>
    <t>CLI-01908</t>
  </si>
  <si>
    <t>CLI-01911</t>
  </si>
  <si>
    <t>CLI-01916</t>
  </si>
  <si>
    <t>CLI-01917</t>
  </si>
  <si>
    <t>CLI-01920</t>
  </si>
  <si>
    <t>CLI-01923</t>
  </si>
  <si>
    <t>CLI-01926</t>
  </si>
  <si>
    <t>CLI-01927</t>
  </si>
  <si>
    <t>CLI-01929</t>
  </si>
  <si>
    <t>CLI-01931</t>
  </si>
  <si>
    <t>CLI-01932</t>
  </si>
  <si>
    <t>CLI-01933</t>
  </si>
  <si>
    <t>CLI-01938</t>
  </si>
  <si>
    <t>CLI-01940</t>
  </si>
  <si>
    <t>CLI-01949</t>
  </si>
  <si>
    <t>CLI-01950</t>
  </si>
  <si>
    <t>CLI-01957</t>
  </si>
  <si>
    <t>CLI-01959</t>
  </si>
  <si>
    <t>CLI-01960</t>
  </si>
  <si>
    <t>CLI-01964</t>
  </si>
  <si>
    <t>CLI-01966</t>
  </si>
  <si>
    <t>CLI-01967</t>
  </si>
  <si>
    <t>CLI-01969</t>
  </si>
  <si>
    <t>CLI-01970</t>
  </si>
  <si>
    <t>CLI-01971</t>
  </si>
  <si>
    <t>CLI-01972</t>
  </si>
  <si>
    <t>CLI-01973</t>
  </si>
  <si>
    <t>CLI-01974</t>
  </si>
  <si>
    <t>CLI-01975</t>
  </si>
  <si>
    <t>CLI-01977</t>
  </si>
  <si>
    <t>CLI-01979</t>
  </si>
  <si>
    <t>CLI-01981</t>
  </si>
  <si>
    <t>CLI-01982</t>
  </si>
  <si>
    <t>CLI-01986</t>
  </si>
  <si>
    <t>CLI-01988</t>
  </si>
  <si>
    <t>CLI-01990</t>
  </si>
  <si>
    <t>CLI-01992</t>
  </si>
  <si>
    <t>CLI-01995</t>
  </si>
  <si>
    <t>CLI-01998</t>
  </si>
  <si>
    <t>CLI-01999</t>
  </si>
  <si>
    <t>Ancienneté_Année</t>
  </si>
  <si>
    <t>Durée_Cumulée_Panne_Heure</t>
  </si>
  <si>
    <t>TOTAL</t>
  </si>
  <si>
    <t>Remise</t>
  </si>
  <si>
    <t>ANT-0001</t>
  </si>
  <si>
    <t>4G</t>
  </si>
  <si>
    <t>ZTE</t>
  </si>
  <si>
    <t>ANT-0002</t>
  </si>
  <si>
    <t>Nokia</t>
  </si>
  <si>
    <t>ANT-0005</t>
  </si>
  <si>
    <t>ANT-0006</t>
  </si>
  <si>
    <t>5G</t>
  </si>
  <si>
    <t>Huawei</t>
  </si>
  <si>
    <t>ANT-0007</t>
  </si>
  <si>
    <t>ANT-0008</t>
  </si>
  <si>
    <t>3G</t>
  </si>
  <si>
    <t>ANT-0010</t>
  </si>
  <si>
    <t>Ericsson</t>
  </si>
  <si>
    <t>ANT-0011</t>
  </si>
  <si>
    <t>ANT-0016</t>
  </si>
  <si>
    <t>ANT-0017</t>
  </si>
  <si>
    <t>ANT-0020</t>
  </si>
  <si>
    <t>ANT-0023</t>
  </si>
  <si>
    <t>ANT-0029</t>
  </si>
  <si>
    <t>ANT-0032</t>
  </si>
  <si>
    <t>ANT-0035</t>
  </si>
  <si>
    <t>ANT-0037</t>
  </si>
  <si>
    <t>ANT-0038</t>
  </si>
  <si>
    <t>ANT-0039</t>
  </si>
  <si>
    <t>ANT-0040</t>
  </si>
  <si>
    <t>ANT-0041</t>
  </si>
  <si>
    <t>ANT-0042</t>
  </si>
  <si>
    <t>ANT-0044</t>
  </si>
  <si>
    <t>ANT-0045</t>
  </si>
  <si>
    <t>ANT-0048</t>
  </si>
  <si>
    <t>ANT-0054</t>
  </si>
  <si>
    <t>ANT-0056</t>
  </si>
  <si>
    <t>ANT-0058</t>
  </si>
  <si>
    <t>ANT-0059</t>
  </si>
  <si>
    <t>ANT-0065</t>
  </si>
  <si>
    <t>ANT-0066</t>
  </si>
  <si>
    <t>ANT-0070</t>
  </si>
  <si>
    <t>ANT-0071</t>
  </si>
  <si>
    <t>ANT-0075</t>
  </si>
  <si>
    <t>ANT-0078</t>
  </si>
  <si>
    <t>ANT-0079</t>
  </si>
  <si>
    <t>ANT-0080</t>
  </si>
  <si>
    <t>ANT-0081</t>
  </si>
  <si>
    <t>ANT-0082</t>
  </si>
  <si>
    <t>ANT-0084</t>
  </si>
  <si>
    <t>ANT-0086</t>
  </si>
  <si>
    <t>ANT-0088</t>
  </si>
  <si>
    <t xml:space="preserve">ANT-0089 </t>
  </si>
  <si>
    <t>ANT-0090</t>
  </si>
  <si>
    <t>ANT-0091</t>
  </si>
  <si>
    <t>ANT-0093</t>
  </si>
  <si>
    <t>ANT-0094</t>
  </si>
  <si>
    <t>ANT-0096</t>
  </si>
  <si>
    <t>ANT-0099</t>
  </si>
  <si>
    <t>ANT-0101</t>
  </si>
  <si>
    <t>ANT-0103</t>
  </si>
  <si>
    <t>ANT-0106</t>
  </si>
  <si>
    <t>ANT-0110</t>
  </si>
  <si>
    <t>ANT-0112</t>
  </si>
  <si>
    <t>ANT-0117</t>
  </si>
  <si>
    <t>ANT-0120</t>
  </si>
  <si>
    <t>ANT-0121</t>
  </si>
  <si>
    <t>ANT-0122</t>
  </si>
  <si>
    <t>ANT-0123</t>
  </si>
  <si>
    <t>ANT-0131</t>
  </si>
  <si>
    <t>ANT-0132</t>
  </si>
  <si>
    <t>ANT-0134</t>
  </si>
  <si>
    <t>ANT-0136</t>
  </si>
  <si>
    <t>ANT-0138</t>
  </si>
  <si>
    <t>ANT-0142</t>
  </si>
  <si>
    <t>ANT-0143</t>
  </si>
  <si>
    <t>ANT-0144</t>
  </si>
  <si>
    <t>ANT-0147</t>
  </si>
  <si>
    <t>ANT-0149</t>
  </si>
  <si>
    <t>ANT-0150</t>
  </si>
  <si>
    <t>ANT-0151</t>
  </si>
  <si>
    <t>ANT-0153</t>
  </si>
  <si>
    <t>ANT-0154</t>
  </si>
  <si>
    <t>ANT-0159</t>
  </si>
  <si>
    <t>ANT-0160</t>
  </si>
  <si>
    <t>ANT-0162</t>
  </si>
  <si>
    <t>ANT-0164</t>
  </si>
  <si>
    <t>ANT-0165</t>
  </si>
  <si>
    <t>ANT-0166</t>
  </si>
  <si>
    <t>ANT-0170</t>
  </si>
  <si>
    <t>ANT-0171</t>
  </si>
  <si>
    <t>ANT-0172</t>
  </si>
  <si>
    <t>ANT-0174</t>
  </si>
  <si>
    <t>ANT-0175</t>
  </si>
  <si>
    <t>ANT-0178</t>
  </si>
  <si>
    <t>ANT-0179</t>
  </si>
  <si>
    <t>ANT-0180</t>
  </si>
  <si>
    <t>ANT-0182</t>
  </si>
  <si>
    <t>ANT-0183</t>
  </si>
  <si>
    <t>ANT-0184</t>
  </si>
  <si>
    <t>ANT-0185</t>
  </si>
  <si>
    <t>ANT-0187</t>
  </si>
  <si>
    <t>ANT-0188</t>
  </si>
  <si>
    <t>ANT-0192</t>
  </si>
  <si>
    <t>ANT-0194</t>
  </si>
  <si>
    <t>ANT-0195</t>
  </si>
  <si>
    <t>ANT-0200</t>
  </si>
  <si>
    <t>ANT-0202</t>
  </si>
  <si>
    <t>ANT-0205</t>
  </si>
  <si>
    <t>ANT-0206</t>
  </si>
  <si>
    <t>ANT-0207</t>
  </si>
  <si>
    <t>ANT-0208</t>
  </si>
  <si>
    <t>ANT-0209</t>
  </si>
  <si>
    <t>ANT-0211</t>
  </si>
  <si>
    <t>ANT-0212</t>
  </si>
  <si>
    <t>ANT-0216</t>
  </si>
  <si>
    <t>ANT-0217</t>
  </si>
  <si>
    <t>ANT-0218</t>
  </si>
  <si>
    <t>ANT-0220</t>
  </si>
  <si>
    <t xml:space="preserve">ANT-0222 </t>
  </si>
  <si>
    <t>ANT-0224</t>
  </si>
  <si>
    <t>ANT-0225</t>
  </si>
  <si>
    <t>ANT-0226</t>
  </si>
  <si>
    <t>ANT-0228</t>
  </si>
  <si>
    <t>ANT-0229</t>
  </si>
  <si>
    <t>ANT-0232</t>
  </si>
  <si>
    <t>ANT-0235</t>
  </si>
  <si>
    <t>ANT-0236</t>
  </si>
  <si>
    <t>ANT-0238</t>
  </si>
  <si>
    <t>ANT-0239</t>
  </si>
  <si>
    <t>ANT-0240</t>
  </si>
  <si>
    <t>ANT-0241</t>
  </si>
  <si>
    <t>ANT-0245</t>
  </si>
  <si>
    <t>ANT-0248</t>
  </si>
  <si>
    <t>ANT-0250</t>
  </si>
  <si>
    <t>ANT-0255</t>
  </si>
  <si>
    <t>ANT-0256</t>
  </si>
  <si>
    <t>ANT-0257</t>
  </si>
  <si>
    <t>ANT-0258</t>
  </si>
  <si>
    <t>ANT-0260</t>
  </si>
  <si>
    <t>ANT-0261</t>
  </si>
  <si>
    <t>ANT-0264</t>
  </si>
  <si>
    <t>ANT-0265</t>
  </si>
  <si>
    <t>ANT-0267</t>
  </si>
  <si>
    <t>ANT-0268</t>
  </si>
  <si>
    <t>ANT-0270</t>
  </si>
  <si>
    <t>ANT-0271</t>
  </si>
  <si>
    <t>ANT-0272</t>
  </si>
  <si>
    <t>ANT-0276</t>
  </si>
  <si>
    <t>ANT-0277</t>
  </si>
  <si>
    <t>ANT-0281</t>
  </si>
  <si>
    <t>ANT-0282</t>
  </si>
  <si>
    <t>ANT-0283</t>
  </si>
  <si>
    <t>ANT-0284</t>
  </si>
  <si>
    <t>ANT-0287</t>
  </si>
  <si>
    <t>ANT-0288</t>
  </si>
  <si>
    <t>ANT-0291</t>
  </si>
  <si>
    <t>ANT-0292</t>
  </si>
  <si>
    <t>ANT-0293</t>
  </si>
  <si>
    <t>ANT-0294</t>
  </si>
  <si>
    <t>ANT-0295</t>
  </si>
  <si>
    <t>ANT-0298</t>
  </si>
  <si>
    <t>ANT-0302</t>
  </si>
  <si>
    <t>ANT-0315</t>
  </si>
  <si>
    <t>ANT-0322</t>
  </si>
  <si>
    <t>ANT-0323</t>
  </si>
  <si>
    <t>ANT-0324</t>
  </si>
  <si>
    <t>ANT-0332</t>
  </si>
  <si>
    <t>ANT-0339</t>
  </si>
  <si>
    <t>ANT-0347</t>
  </si>
  <si>
    <t>ANT-0348</t>
  </si>
  <si>
    <t>ANT-0349</t>
  </si>
  <si>
    <t>ANT-0351</t>
  </si>
  <si>
    <t>ANT-0352</t>
  </si>
  <si>
    <t>ANT-0353</t>
  </si>
  <si>
    <t>ANT-0354</t>
  </si>
  <si>
    <t>ANT-0356</t>
  </si>
  <si>
    <t>ANT-0357</t>
  </si>
  <si>
    <t>ANT-0359</t>
  </si>
  <si>
    <t>ANT-0362</t>
  </si>
  <si>
    <t>ANT-0363</t>
  </si>
  <si>
    <t>ANT-0365</t>
  </si>
  <si>
    <t>ANT-0368</t>
  </si>
  <si>
    <t>ANT-0369</t>
  </si>
  <si>
    <t>ANT-0370</t>
  </si>
  <si>
    <t>ANT-0371</t>
  </si>
  <si>
    <t>ANT-0373</t>
  </si>
  <si>
    <t>ANT-0375</t>
  </si>
  <si>
    <t>ANT-0379</t>
  </si>
  <si>
    <t>ANT-0380</t>
  </si>
  <si>
    <t>ANT-0381</t>
  </si>
  <si>
    <t>ANT-0385</t>
  </si>
  <si>
    <t>ANT-0386</t>
  </si>
  <si>
    <t>ANT-0387</t>
  </si>
  <si>
    <t>ANT-0388</t>
  </si>
  <si>
    <t>ANT-0391</t>
  </si>
  <si>
    <t>ANT-0392</t>
  </si>
  <si>
    <t>ANT-0394</t>
  </si>
  <si>
    <t>ANT-0395</t>
  </si>
  <si>
    <t>ANT-0398</t>
  </si>
  <si>
    <t>ANT-0399</t>
  </si>
  <si>
    <t>ANT-0402</t>
  </si>
  <si>
    <t>ANT-0405</t>
  </si>
  <si>
    <t>ANT-0407</t>
  </si>
  <si>
    <t>ANT-0408</t>
  </si>
  <si>
    <t>ANT-0409</t>
  </si>
  <si>
    <t>ANT-0410</t>
  </si>
  <si>
    <t>ANT-0411</t>
  </si>
  <si>
    <t>ANT-0414</t>
  </si>
  <si>
    <t>ANT-0415</t>
  </si>
  <si>
    <t>ANT-0416</t>
  </si>
  <si>
    <t>ANT-0417</t>
  </si>
  <si>
    <t>ANT-0419</t>
  </si>
  <si>
    <t>ANT-0421</t>
  </si>
  <si>
    <t>ANT-0423</t>
  </si>
  <si>
    <t>ANT-0424</t>
  </si>
  <si>
    <t>ANT-0425</t>
  </si>
  <si>
    <t>ANT-0430</t>
  </si>
  <si>
    <t>ANT-0431</t>
  </si>
  <si>
    <t>ANT-0434</t>
  </si>
  <si>
    <t>ANT-0436</t>
  </si>
  <si>
    <t>ANT-0437</t>
  </si>
  <si>
    <t>ANT-0440</t>
  </si>
  <si>
    <t>ANT-0441</t>
  </si>
  <si>
    <t>ANT-0442</t>
  </si>
  <si>
    <t>ANT-0446</t>
  </si>
  <si>
    <t>ANT-0450</t>
  </si>
  <si>
    <t>ANT-0451</t>
  </si>
  <si>
    <t>ANT-0454</t>
  </si>
  <si>
    <t>ANT-0457</t>
  </si>
  <si>
    <t>ANT-0458</t>
  </si>
  <si>
    <t>ANT-0460</t>
  </si>
  <si>
    <t>ANT-0465</t>
  </si>
  <si>
    <t>ANT-0466</t>
  </si>
  <si>
    <t>ANT-0470</t>
  </si>
  <si>
    <t>ANT-0472</t>
  </si>
  <si>
    <t>ANT-0476</t>
  </si>
  <si>
    <t>ANT-0481</t>
  </si>
  <si>
    <t>ANT-0482</t>
  </si>
  <si>
    <t>ANT-0483</t>
  </si>
  <si>
    <t>ANT-0484</t>
  </si>
  <si>
    <t>ANT-0488</t>
  </si>
  <si>
    <t>ANT-0489</t>
  </si>
  <si>
    <t>ANT-0491</t>
  </si>
  <si>
    <t>ANT-0494</t>
  </si>
  <si>
    <t>ANT-0495</t>
  </si>
  <si>
    <t>ANT-0496</t>
  </si>
  <si>
    <t>ANT-0499</t>
  </si>
  <si>
    <t>ANT-0500</t>
  </si>
  <si>
    <t>ANT-0503</t>
  </si>
  <si>
    <t>ANT-0505</t>
  </si>
  <si>
    <t>ANT-0507</t>
  </si>
  <si>
    <t>ANT-0511</t>
  </si>
  <si>
    <t>ANT-0514</t>
  </si>
  <si>
    <t>ANT-0515</t>
  </si>
  <si>
    <t>ANT-0516</t>
  </si>
  <si>
    <t>ANT-0517</t>
  </si>
  <si>
    <t>ANT-0519</t>
  </si>
  <si>
    <t>ANT-0520</t>
  </si>
  <si>
    <t>ANT-0521</t>
  </si>
  <si>
    <t>ANT-0523</t>
  </si>
  <si>
    <t>ANT-0524</t>
  </si>
  <si>
    <t>ANT-0525</t>
  </si>
  <si>
    <t>ANT-0526</t>
  </si>
  <si>
    <t>ANT-0527</t>
  </si>
  <si>
    <t>ANT-0529</t>
  </si>
  <si>
    <t>ANT-0530</t>
  </si>
  <si>
    <t>ANT-0531</t>
  </si>
  <si>
    <t>ANT-0533</t>
  </si>
  <si>
    <t>ANT-0534</t>
  </si>
  <si>
    <t>ANT-0535</t>
  </si>
  <si>
    <t>ANT-0536</t>
  </si>
  <si>
    <t>ANT-0543</t>
  </si>
  <si>
    <t>ANT-0545</t>
  </si>
  <si>
    <t>ANT-0549</t>
  </si>
  <si>
    <t>ANT-0551</t>
  </si>
  <si>
    <t>ANT-0552</t>
  </si>
  <si>
    <t>ANT-0553</t>
  </si>
  <si>
    <t>ANT-0557</t>
  </si>
  <si>
    <t>ANT-0558</t>
  </si>
  <si>
    <t>ANT-0563</t>
  </si>
  <si>
    <t>ANT-0564</t>
  </si>
  <si>
    <t>ANT-0565</t>
  </si>
  <si>
    <t>ANT-0566</t>
  </si>
  <si>
    <t>ANT-0569</t>
  </si>
  <si>
    <t>ANT-0571</t>
  </si>
  <si>
    <t>ANT-0573</t>
  </si>
  <si>
    <t>ANT-0578</t>
  </si>
  <si>
    <t>ANT-0579</t>
  </si>
  <si>
    <t>ANT-0580</t>
  </si>
  <si>
    <t>ANT-0582</t>
  </si>
  <si>
    <t>ANT-0584</t>
  </si>
  <si>
    <t>ANT-0587</t>
  </si>
  <si>
    <t>ANT-0588</t>
  </si>
  <si>
    <t>ANT-0589</t>
  </si>
  <si>
    <t>ANT-0590</t>
  </si>
  <si>
    <t>ANT-0592</t>
  </si>
  <si>
    <t>ANT-0593</t>
  </si>
  <si>
    <t>ANT-0596</t>
  </si>
  <si>
    <t>ANT-0597</t>
  </si>
  <si>
    <t>ANT-0600</t>
  </si>
  <si>
    <t>ANT-0601</t>
  </si>
  <si>
    <t>ANT-0602</t>
  </si>
  <si>
    <t>ANT-0603</t>
  </si>
  <si>
    <t>ANT-0604</t>
  </si>
  <si>
    <t>ANT-0605</t>
  </si>
  <si>
    <t>ANT-0607</t>
  </si>
  <si>
    <t>ANT-0611</t>
  </si>
  <si>
    <t>ANT-0612</t>
  </si>
  <si>
    <t>ANT-0613</t>
  </si>
  <si>
    <t>ANT-0614</t>
  </si>
  <si>
    <t>ANT-0615</t>
  </si>
  <si>
    <t>ANT-0616</t>
  </si>
  <si>
    <t>ANT-0617</t>
  </si>
  <si>
    <t>ANT-0618</t>
  </si>
  <si>
    <t>ANT-0619</t>
  </si>
  <si>
    <t>ANT-0620</t>
  </si>
  <si>
    <t>ANT-0621</t>
  </si>
  <si>
    <t>ANT-0622</t>
  </si>
  <si>
    <t>ANT-0624</t>
  </si>
  <si>
    <t>ANT-0625</t>
  </si>
  <si>
    <t>ANT-0627</t>
  </si>
  <si>
    <t>ANT-0629</t>
  </si>
  <si>
    <t>ANT-0630</t>
  </si>
  <si>
    <t>ANT-0631</t>
  </si>
  <si>
    <t>ANT-0636</t>
  </si>
  <si>
    <t>ANT-0639</t>
  </si>
  <si>
    <t>ANT-0641</t>
  </si>
  <si>
    <t>ANT-0642</t>
  </si>
  <si>
    <t>ANT-0645</t>
  </si>
  <si>
    <t>ANT-0647</t>
  </si>
  <si>
    <t>ANT-0648</t>
  </si>
  <si>
    <t>ANT-0649</t>
  </si>
  <si>
    <t>ANT-0652</t>
  </si>
  <si>
    <t>ANT-0653</t>
  </si>
  <si>
    <t>ANT-0659</t>
  </si>
  <si>
    <t>ANT-0662</t>
  </si>
  <si>
    <t>ANT-0663</t>
  </si>
  <si>
    <t>ANT-0665</t>
  </si>
  <si>
    <t>ANT-0668</t>
  </si>
  <si>
    <t>ANT-0670</t>
  </si>
  <si>
    <t>ANT-0671</t>
  </si>
  <si>
    <t>ANT-0674</t>
  </si>
  <si>
    <t>ANT-0676</t>
  </si>
  <si>
    <t>ANT-0677</t>
  </si>
  <si>
    <t>ANT-0678</t>
  </si>
  <si>
    <t>ANT-0679</t>
  </si>
  <si>
    <t>ANT-0680</t>
  </si>
  <si>
    <t>ANT-0681</t>
  </si>
  <si>
    <t>ANT-0682</t>
  </si>
  <si>
    <t>ANT-0685</t>
  </si>
  <si>
    <t>ANT-0690</t>
  </si>
  <si>
    <t>ANT-0691</t>
  </si>
  <si>
    <t>ANT-0692</t>
  </si>
  <si>
    <t>ANT-0694</t>
  </si>
  <si>
    <t>ANT-0695</t>
  </si>
  <si>
    <t>ANT-0696</t>
  </si>
  <si>
    <t>ANT-0697</t>
  </si>
  <si>
    <t>ANT-0701</t>
  </si>
  <si>
    <t>ANT-0702</t>
  </si>
  <si>
    <t>ANT-0703</t>
  </si>
  <si>
    <t>ANT-0705</t>
  </si>
  <si>
    <t>ANT-0706</t>
  </si>
  <si>
    <t>ANT-0708</t>
  </si>
  <si>
    <t>ANT-0714</t>
  </si>
  <si>
    <t>ANT-0715</t>
  </si>
  <si>
    <t>ANT-0716</t>
  </si>
  <si>
    <t>ANT-0718</t>
  </si>
  <si>
    <t>ANT-0719</t>
  </si>
  <si>
    <t>ANT-0721</t>
  </si>
  <si>
    <t>ANT-0731</t>
  </si>
  <si>
    <t>ANT-0735</t>
  </si>
  <si>
    <t>ANT-0736</t>
  </si>
  <si>
    <t>ANT-0737</t>
  </si>
  <si>
    <t>ANT-0738</t>
  </si>
  <si>
    <t xml:space="preserve">ANT-0739 </t>
  </si>
  <si>
    <t>ANT-0741</t>
  </si>
  <si>
    <t>ANT-0742</t>
  </si>
  <si>
    <t>ANT-0745</t>
  </si>
  <si>
    <t>ANT-0746</t>
  </si>
  <si>
    <t>ANT-0750</t>
  </si>
  <si>
    <t>ANT-0751</t>
  </si>
  <si>
    <t>ANT-0752</t>
  </si>
  <si>
    <t>ANT-0753</t>
  </si>
  <si>
    <t>ANT-0754</t>
  </si>
  <si>
    <t>ANT-0755</t>
  </si>
  <si>
    <t>ANT-0758</t>
  </si>
  <si>
    <t>ANT-0760</t>
  </si>
  <si>
    <t>ANT-0768</t>
  </si>
  <si>
    <t>ANT-0769</t>
  </si>
  <si>
    <t>ANT-0770</t>
  </si>
  <si>
    <t>ANT-0775</t>
  </si>
  <si>
    <t>ANT-0776</t>
  </si>
  <si>
    <t>ANT-0780</t>
  </si>
  <si>
    <t>ANT-0786</t>
  </si>
  <si>
    <t>ANT-0788</t>
  </si>
  <si>
    <t>ANT-0789</t>
  </si>
  <si>
    <t>ANT-0790</t>
  </si>
  <si>
    <t>ANT-0791</t>
  </si>
  <si>
    <t>ANT-0794</t>
  </si>
  <si>
    <t>ANT-0796</t>
  </si>
  <si>
    <t>ANT-0797</t>
  </si>
  <si>
    <t>ANT-0802</t>
  </si>
  <si>
    <t>ANT-0804</t>
  </si>
  <si>
    <t>ANT-0809</t>
  </si>
  <si>
    <t>ANT-0810</t>
  </si>
  <si>
    <t>ANT-0811</t>
  </si>
  <si>
    <t>ANT-0812</t>
  </si>
  <si>
    <t>ANT-0813</t>
  </si>
  <si>
    <t>ANT-0821</t>
  </si>
  <si>
    <t>ANT-0822</t>
  </si>
  <si>
    <t>ANT-0824</t>
  </si>
  <si>
    <t>ANT-0826</t>
  </si>
  <si>
    <t>ANT-0827</t>
  </si>
  <si>
    <t>ANT-0829</t>
  </si>
  <si>
    <t>ANT-0831</t>
  </si>
  <si>
    <t>ANT-0832</t>
  </si>
  <si>
    <t>ANT-0833</t>
  </si>
  <si>
    <t>ANT-0835</t>
  </si>
  <si>
    <t>ANT-0837</t>
  </si>
  <si>
    <t>ANT-0839</t>
  </si>
  <si>
    <t>ANT-0841</t>
  </si>
  <si>
    <t>ANT-0843</t>
  </si>
  <si>
    <t>ANT-0845</t>
  </si>
  <si>
    <t>ANT-0846</t>
  </si>
  <si>
    <t>ANT-0847</t>
  </si>
  <si>
    <t>ANT-0849</t>
  </si>
  <si>
    <t>ANT-0850</t>
  </si>
  <si>
    <t>ANT-0852</t>
  </si>
  <si>
    <t>ANT-0855</t>
  </si>
  <si>
    <t>ANT-0856</t>
  </si>
  <si>
    <t>ANT-0858</t>
  </si>
  <si>
    <t>ANT-0862</t>
  </si>
  <si>
    <t>ANT-0863</t>
  </si>
  <si>
    <t>ANT-0865</t>
  </si>
  <si>
    <t>ANT-0869</t>
  </si>
  <si>
    <t>ANT-0870</t>
  </si>
  <si>
    <t>ANT-0871</t>
  </si>
  <si>
    <t>ANT-0872</t>
  </si>
  <si>
    <t>ANT-0875</t>
  </si>
  <si>
    <t>ANT-0876</t>
  </si>
  <si>
    <t>ANT-0878</t>
  </si>
  <si>
    <t>ANT-0880</t>
  </si>
  <si>
    <t>ANT-0881</t>
  </si>
  <si>
    <t>ANT-0882</t>
  </si>
  <si>
    <t>ANT-0883</t>
  </si>
  <si>
    <t>ANT-0884</t>
  </si>
  <si>
    <t>ANT-0889</t>
  </si>
  <si>
    <t>ANT-0890</t>
  </si>
  <si>
    <t>ANT-0893</t>
  </si>
  <si>
    <t>ANT-0894</t>
  </si>
  <si>
    <t>ANT-0895</t>
  </si>
  <si>
    <t>ANT-0899</t>
  </si>
  <si>
    <t>ANT-0900</t>
  </si>
  <si>
    <t>ANT-0902</t>
  </si>
  <si>
    <t>ANT-0904</t>
  </si>
  <si>
    <t>ANT-0907</t>
  </si>
  <si>
    <t>ANT-0908</t>
  </si>
  <si>
    <t>ANT-0910</t>
  </si>
  <si>
    <t>ANT-0913</t>
  </si>
  <si>
    <t>ANT-0914</t>
  </si>
  <si>
    <t>ANT-0915</t>
  </si>
  <si>
    <t>ANT-0916</t>
  </si>
  <si>
    <t>ANT-0917</t>
  </si>
  <si>
    <t>ANT-0918</t>
  </si>
  <si>
    <t>ANT-0921</t>
  </si>
  <si>
    <t>ANT-0923</t>
  </si>
  <si>
    <t>ANT-0925</t>
  </si>
  <si>
    <t>ANT-0926</t>
  </si>
  <si>
    <t>ANT-0928</t>
  </si>
  <si>
    <t>ANT-0929</t>
  </si>
  <si>
    <t>ANT-0933</t>
  </si>
  <si>
    <t>ANT-0934</t>
  </si>
  <si>
    <t>ANT-0935</t>
  </si>
  <si>
    <t>ANT-0936</t>
  </si>
  <si>
    <t>ANT-0937</t>
  </si>
  <si>
    <t>ANT-0938</t>
  </si>
  <si>
    <t>ANT-0939</t>
  </si>
  <si>
    <t>ANT-0940</t>
  </si>
  <si>
    <t>ANT-0941</t>
  </si>
  <si>
    <t>ANT-0942</t>
  </si>
  <si>
    <t>ANT-0945</t>
  </si>
  <si>
    <t>ANT-0946</t>
  </si>
  <si>
    <t>ANT-0947</t>
  </si>
  <si>
    <t>ANT-0948</t>
  </si>
  <si>
    <t>ANT-0950</t>
  </si>
  <si>
    <t>ANT-0952</t>
  </si>
  <si>
    <t>ANT-0954</t>
  </si>
  <si>
    <t>ANT-0956</t>
  </si>
  <si>
    <t>ANT-0957</t>
  </si>
  <si>
    <t>ANT-0959</t>
  </si>
  <si>
    <t>ANT-0962</t>
  </si>
  <si>
    <t>ANT-0964</t>
  </si>
  <si>
    <t>ANT-0966</t>
  </si>
  <si>
    <t>ANT-0970</t>
  </si>
  <si>
    <t>ANT-0972</t>
  </si>
  <si>
    <t>ANT-0975</t>
  </si>
  <si>
    <t>ANT-0981</t>
  </si>
  <si>
    <t>ANT-0982</t>
  </si>
  <si>
    <t>ANT-0984</t>
  </si>
  <si>
    <t>ANT-0985</t>
  </si>
  <si>
    <t>ANT-0986</t>
  </si>
  <si>
    <t>ANT-0988</t>
  </si>
  <si>
    <t>ANT-0989</t>
  </si>
  <si>
    <t>ANT-0990</t>
  </si>
  <si>
    <t>ANT-0991</t>
  </si>
  <si>
    <t>ANT-0993</t>
  </si>
  <si>
    <t>ANT-0994</t>
  </si>
  <si>
    <t>ANT-0995</t>
  </si>
  <si>
    <t>ANT-0997</t>
  </si>
  <si>
    <t>ANT-1000</t>
  </si>
  <si>
    <t>ID_Antenne</t>
  </si>
  <si>
    <t>Province_RDC</t>
  </si>
  <si>
    <t>Latitude</t>
  </si>
  <si>
    <t>Longitude</t>
  </si>
  <si>
    <t>Technologie</t>
  </si>
  <si>
    <t>Equipementier</t>
  </si>
  <si>
    <t>Nbre_Abonnés_Impactés</t>
  </si>
  <si>
    <t>Durée_Total_panne_Min</t>
  </si>
  <si>
    <t>Étiquettes de lignes</t>
  </si>
  <si>
    <t>(vide)</t>
  </si>
  <si>
    <t>Total général</t>
  </si>
  <si>
    <t>Étiquettes de colonnes</t>
  </si>
  <si>
    <t>Somme de Durée_Total_panne_Min</t>
  </si>
  <si>
    <t>Total Somme de Durée_Total_panne_Min</t>
  </si>
  <si>
    <t>Moyenne de Nbre_Abonnés_Impactés</t>
  </si>
  <si>
    <t>Total Moyenne de Nbre_Abonnés_Impactés</t>
  </si>
  <si>
    <t>Perte_Financière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</si>
</sst>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&quot;€&quot;"/>
    <numFmt numFmtId="165" formatCode="0.0"/>
    <numFmt numFmtId="166" formatCode="#,##0&quot; H&quot;"/>
    <numFmt numFmtId="167" formatCode="#,##0&quot; Ans&quot;"/>
    <numFmt numFmtId="168" formatCode="[$$-409]#,##0.00"/>
  </numFmts>
  <fonts count="3" x14ac:knownFonts="1">
    <font>
      <sz val="10"/>
      <color theme="1"/>
      <name val="Times New Roman"/>
      <family val="2"/>
    </font>
    <font>
      <sz val="8"/>
      <name val="Times New Roman"/>
      <family val="2"/>
    </font>
    <font>
      <b/>
      <sz val="10"/>
      <color theme="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7" fontId="0" fillId="0" borderId="0" xfId="0" applyNumberFormat="1" applyAlignment="1">
      <alignment horizontal="center" vertical="center"/>
    </xf>
    <xf numFmtId="167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2" xfId="0" pivotButton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0" xfId="0" applyNumberFormat="1"/>
  </cellXfs>
  <cellStyles count="1">
    <cellStyle name="Normal" xfId="0" builtinId="0"/>
  </cellStyles>
  <dxfs count="101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right/>
      </border>
    </dxf>
    <dxf>
      <border>
        <right/>
      </border>
    </dxf>
    <dxf>
      <border>
        <right/>
      </border>
    </dxf>
    <dxf>
      <numFmt numFmtId="165" formatCode="0.0"/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[$$-409]#,##0.00"/>
      <alignment horizontal="center" vertical="center" textRotation="0" wrapText="0" indent="0" justifyLastLine="0" shrinkToFit="0" readingOrder="0"/>
    </dxf>
    <dxf>
      <numFmt numFmtId="168" formatCode="[$$-409]#,##0.00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#,##0&quot; H&quot;"/>
      <alignment horizontal="center" vertical="center" textRotation="0" wrapText="0" indent="0" justifyLastLine="0" shrinkToFit="0" readingOrder="0"/>
    </dxf>
    <dxf>
      <numFmt numFmtId="166" formatCode="#,##0&quot; H&quot;"/>
      <alignment horizontal="center" vertical="center" textRotation="0" wrapText="0" indent="0" justifyLastLine="0" shrinkToFit="0" readingOrder="0"/>
    </dxf>
    <dxf>
      <numFmt numFmtId="167" formatCode="#,##0&quot; Ans&quot;"/>
      <alignment horizontal="center" vertical="center" textRotation="0" wrapText="0" indent="0" justifyLastLine="0" shrinkToFit="0" readingOrder="0"/>
    </dxf>
    <dxf>
      <numFmt numFmtId="167" formatCode="#,##0&quot; Ans&quot;"/>
      <alignment horizontal="center" vertical="center" textRotation="0" wrapText="0" indent="0" justifyLastLine="0" shrinkToFit="0" readingOrder="0"/>
    </dxf>
    <dxf>
      <numFmt numFmtId="164" formatCode="#,##0.00\ &quot;€&quot;"/>
      <alignment horizontal="center" vertical="center" textRotation="0" wrapText="0" indent="0" justifyLastLine="0" shrinkToFit="0" readingOrder="0"/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lasseur2.xlsx" TargetMode="External"/><Relationship Id="rId2" Type="http://schemas.openxmlformats.org/officeDocument/2006/relationships/externalLinkPath" Target="file:///E:\EEEXX\Classeur2.xlsx" TargetMode="External"/><Relationship Id="rId1" Type="http://schemas.openxmlformats.org/officeDocument/2006/relationships/externalLinkPath" Target="/EEEXX/Classeu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og_Réseaux"/>
      <sheetName val="Synthèse Macroscopique"/>
      <sheetName val="Registre"/>
      <sheetName val="Feuil1"/>
    </sheetNames>
    <sheetDataSet>
      <sheetData sheetId="0">
        <row r="1">
          <cell r="B1" t="str">
            <v>Cell_ID</v>
          </cell>
          <cell r="C1" t="str">
            <v>Nbre_Abonnés_Impactés</v>
          </cell>
          <cell r="D1" t="str">
            <v>Durée_Total_panne</v>
          </cell>
        </row>
        <row r="2">
          <cell r="C2">
            <v>5</v>
          </cell>
          <cell r="D2">
            <v>244</v>
          </cell>
        </row>
        <row r="3">
          <cell r="B3" t="str">
            <v/>
          </cell>
          <cell r="C3">
            <v>10</v>
          </cell>
          <cell r="D3">
            <v>635</v>
          </cell>
        </row>
        <row r="4">
          <cell r="B4" t="str">
            <v>ANT-0001</v>
          </cell>
          <cell r="C4">
            <v>5</v>
          </cell>
          <cell r="D4">
            <v>252</v>
          </cell>
        </row>
        <row r="5">
          <cell r="B5" t="str">
            <v>ANT-0002</v>
          </cell>
          <cell r="C5">
            <v>6</v>
          </cell>
          <cell r="D5">
            <v>356</v>
          </cell>
        </row>
        <row r="6">
          <cell r="B6" t="str">
            <v>ANT-0003</v>
          </cell>
          <cell r="C6">
            <v>4</v>
          </cell>
          <cell r="D6">
            <v>266</v>
          </cell>
        </row>
        <row r="7">
          <cell r="B7" t="str">
            <v>ANT-0004</v>
          </cell>
          <cell r="C7">
            <v>6</v>
          </cell>
          <cell r="D7">
            <v>360</v>
          </cell>
        </row>
        <row r="8">
          <cell r="B8" t="str">
            <v>ANT-0005</v>
          </cell>
          <cell r="C8">
            <v>6</v>
          </cell>
          <cell r="D8">
            <v>281</v>
          </cell>
        </row>
        <row r="9">
          <cell r="B9" t="str">
            <v>ANT-0006</v>
          </cell>
          <cell r="C9">
            <v>3</v>
          </cell>
          <cell r="D9">
            <v>132</v>
          </cell>
        </row>
        <row r="10">
          <cell r="B10" t="str">
            <v>ANT-0007</v>
          </cell>
          <cell r="C10">
            <v>4</v>
          </cell>
          <cell r="D10">
            <v>250</v>
          </cell>
        </row>
        <row r="11">
          <cell r="B11" t="str">
            <v>ANT-0008</v>
          </cell>
          <cell r="C11">
            <v>4</v>
          </cell>
          <cell r="D11">
            <v>203</v>
          </cell>
        </row>
        <row r="12">
          <cell r="B12" t="str">
            <v>ANT-0009</v>
          </cell>
          <cell r="C12">
            <v>8</v>
          </cell>
          <cell r="D12">
            <v>591</v>
          </cell>
        </row>
        <row r="13">
          <cell r="B13" t="str">
            <v>ANT-0010</v>
          </cell>
          <cell r="C13">
            <v>3</v>
          </cell>
          <cell r="D13">
            <v>230</v>
          </cell>
        </row>
        <row r="14">
          <cell r="B14" t="str">
            <v>ANT-0011</v>
          </cell>
          <cell r="C14">
            <v>4</v>
          </cell>
          <cell r="D14">
            <v>208</v>
          </cell>
        </row>
        <row r="15">
          <cell r="B15" t="str">
            <v>ANT-0012</v>
          </cell>
          <cell r="C15">
            <v>6</v>
          </cell>
          <cell r="D15">
            <v>459</v>
          </cell>
        </row>
        <row r="16">
          <cell r="B16" t="str">
            <v>ANT-0013</v>
          </cell>
          <cell r="C16">
            <v>5</v>
          </cell>
          <cell r="D16">
            <v>237</v>
          </cell>
        </row>
        <row r="17">
          <cell r="B17" t="str">
            <v>ANT-0014</v>
          </cell>
          <cell r="C17">
            <v>3</v>
          </cell>
          <cell r="D17">
            <v>250</v>
          </cell>
        </row>
        <row r="18">
          <cell r="B18" t="str">
            <v>ANT-0015</v>
          </cell>
          <cell r="C18">
            <v>3</v>
          </cell>
          <cell r="D18">
            <v>290</v>
          </cell>
        </row>
        <row r="19">
          <cell r="B19" t="str">
            <v>ANT-0016</v>
          </cell>
          <cell r="C19">
            <v>4</v>
          </cell>
          <cell r="D19">
            <v>283</v>
          </cell>
        </row>
        <row r="20">
          <cell r="B20" t="str">
            <v>ANT-0017</v>
          </cell>
          <cell r="C20">
            <v>3</v>
          </cell>
          <cell r="D20">
            <v>254</v>
          </cell>
        </row>
        <row r="21">
          <cell r="B21" t="str">
            <v>ANT-0018</v>
          </cell>
          <cell r="C21">
            <v>8</v>
          </cell>
          <cell r="D21">
            <v>621</v>
          </cell>
        </row>
        <row r="22">
          <cell r="B22" t="str">
            <v>ANT-0019</v>
          </cell>
          <cell r="C22">
            <v>5</v>
          </cell>
          <cell r="D22">
            <v>320</v>
          </cell>
        </row>
        <row r="23">
          <cell r="B23" t="str">
            <v>ANT-0020</v>
          </cell>
          <cell r="C23">
            <v>6</v>
          </cell>
          <cell r="D23">
            <v>340</v>
          </cell>
        </row>
        <row r="24">
          <cell r="B24" t="str">
            <v>ANT-0021</v>
          </cell>
          <cell r="C24">
            <v>7</v>
          </cell>
          <cell r="D24">
            <v>504</v>
          </cell>
        </row>
        <row r="25">
          <cell r="B25" t="str">
            <v>ANT-0022</v>
          </cell>
          <cell r="C25">
            <v>9</v>
          </cell>
          <cell r="D25">
            <v>467</v>
          </cell>
        </row>
        <row r="26">
          <cell r="B26" t="str">
            <v>ANT-0023</v>
          </cell>
          <cell r="C26">
            <v>2</v>
          </cell>
          <cell r="D26">
            <v>153</v>
          </cell>
        </row>
        <row r="27">
          <cell r="B27" t="str">
            <v>ANT-0024</v>
          </cell>
          <cell r="C27">
            <v>6</v>
          </cell>
          <cell r="D27">
            <v>418</v>
          </cell>
        </row>
        <row r="28">
          <cell r="B28" t="str">
            <v>ANT-0025</v>
          </cell>
          <cell r="C28">
            <v>3</v>
          </cell>
          <cell r="D28">
            <v>201</v>
          </cell>
        </row>
        <row r="29">
          <cell r="B29" t="str">
            <v>ANT-0026</v>
          </cell>
          <cell r="C29">
            <v>4</v>
          </cell>
          <cell r="D29">
            <v>204</v>
          </cell>
        </row>
        <row r="30">
          <cell r="B30" t="str">
            <v>ANT-0027</v>
          </cell>
          <cell r="C30">
            <v>5</v>
          </cell>
          <cell r="D30">
            <v>331</v>
          </cell>
        </row>
        <row r="31">
          <cell r="B31" t="str">
            <v>ANT-0028</v>
          </cell>
          <cell r="C31">
            <v>8</v>
          </cell>
          <cell r="D31">
            <v>608</v>
          </cell>
        </row>
        <row r="32">
          <cell r="B32" t="str">
            <v>ANT-0029</v>
          </cell>
          <cell r="C32">
            <v>3</v>
          </cell>
          <cell r="D32">
            <v>189</v>
          </cell>
        </row>
        <row r="33">
          <cell r="B33" t="str">
            <v>ANT-0030</v>
          </cell>
          <cell r="C33">
            <v>8</v>
          </cell>
          <cell r="D33">
            <v>396</v>
          </cell>
        </row>
        <row r="34">
          <cell r="B34" t="str">
            <v>ANT-0031</v>
          </cell>
          <cell r="C34">
            <v>3</v>
          </cell>
          <cell r="D34">
            <v>146</v>
          </cell>
        </row>
        <row r="35">
          <cell r="B35" t="str">
            <v>ANT-0032</v>
          </cell>
          <cell r="C35">
            <v>1</v>
          </cell>
          <cell r="D35">
            <v>46</v>
          </cell>
        </row>
        <row r="36">
          <cell r="B36" t="str">
            <v>ANT-0033</v>
          </cell>
          <cell r="C36">
            <v>2</v>
          </cell>
          <cell r="D36">
            <v>199</v>
          </cell>
        </row>
        <row r="37">
          <cell r="B37" t="str">
            <v>ANT-0034</v>
          </cell>
          <cell r="C37">
            <v>2</v>
          </cell>
          <cell r="D37">
            <v>82</v>
          </cell>
        </row>
        <row r="38">
          <cell r="B38" t="str">
            <v>ANT-0035</v>
          </cell>
          <cell r="C38">
            <v>8</v>
          </cell>
          <cell r="D38">
            <v>447</v>
          </cell>
        </row>
        <row r="39">
          <cell r="B39" t="str">
            <v>ANT-0036</v>
          </cell>
          <cell r="C39">
            <v>10</v>
          </cell>
          <cell r="D39">
            <v>738</v>
          </cell>
        </row>
        <row r="40">
          <cell r="B40" t="str">
            <v>ANT-0037</v>
          </cell>
          <cell r="C40">
            <v>7</v>
          </cell>
          <cell r="D40">
            <v>471</v>
          </cell>
        </row>
        <row r="41">
          <cell r="B41" t="str">
            <v>ANT-0038</v>
          </cell>
          <cell r="C41">
            <v>2</v>
          </cell>
          <cell r="D41">
            <v>128</v>
          </cell>
        </row>
        <row r="42">
          <cell r="B42" t="str">
            <v>ANT-0039</v>
          </cell>
          <cell r="C42">
            <v>5</v>
          </cell>
          <cell r="D42">
            <v>400</v>
          </cell>
        </row>
        <row r="43">
          <cell r="B43" t="str">
            <v>ANT-0040</v>
          </cell>
          <cell r="C43">
            <v>5</v>
          </cell>
          <cell r="D43">
            <v>444</v>
          </cell>
        </row>
        <row r="44">
          <cell r="B44" t="str">
            <v>ANT-0041</v>
          </cell>
          <cell r="C44">
            <v>3</v>
          </cell>
          <cell r="D44">
            <v>268</v>
          </cell>
        </row>
        <row r="45">
          <cell r="B45" t="str">
            <v>ANT-0042</v>
          </cell>
          <cell r="C45">
            <v>2</v>
          </cell>
          <cell r="D45">
            <v>210</v>
          </cell>
        </row>
        <row r="46">
          <cell r="B46" t="str">
            <v>ANT-0043</v>
          </cell>
          <cell r="C46">
            <v>7</v>
          </cell>
          <cell r="D46">
            <v>435</v>
          </cell>
        </row>
        <row r="47">
          <cell r="B47" t="str">
            <v>ANT-0044</v>
          </cell>
          <cell r="C47">
            <v>7</v>
          </cell>
          <cell r="D47">
            <v>512</v>
          </cell>
        </row>
        <row r="48">
          <cell r="B48" t="str">
            <v>ANT-0045</v>
          </cell>
          <cell r="C48">
            <v>5</v>
          </cell>
          <cell r="D48">
            <v>254</v>
          </cell>
        </row>
        <row r="49">
          <cell r="B49" t="str">
            <v>ANT-0046</v>
          </cell>
          <cell r="C49">
            <v>5</v>
          </cell>
          <cell r="D49">
            <v>374</v>
          </cell>
        </row>
        <row r="50">
          <cell r="B50" t="str">
            <v>ANT-0047</v>
          </cell>
          <cell r="C50">
            <v>3</v>
          </cell>
          <cell r="D50">
            <v>247</v>
          </cell>
        </row>
        <row r="51">
          <cell r="B51" t="str">
            <v>ANT-0048</v>
          </cell>
          <cell r="C51">
            <v>9</v>
          </cell>
          <cell r="D51">
            <v>554</v>
          </cell>
        </row>
        <row r="52">
          <cell r="B52" t="str">
            <v>ANT-0049</v>
          </cell>
          <cell r="C52">
            <v>4</v>
          </cell>
          <cell r="D52">
            <v>190</v>
          </cell>
        </row>
        <row r="53">
          <cell r="B53" t="str">
            <v>ANT-0050</v>
          </cell>
          <cell r="C53">
            <v>3</v>
          </cell>
          <cell r="D53">
            <v>266</v>
          </cell>
        </row>
        <row r="54">
          <cell r="B54" t="str">
            <v>ANT-0051</v>
          </cell>
          <cell r="C54">
            <v>4</v>
          </cell>
          <cell r="D54">
            <v>194</v>
          </cell>
        </row>
        <row r="55">
          <cell r="B55" t="str">
            <v>ANT-0052</v>
          </cell>
          <cell r="C55">
            <v>4</v>
          </cell>
          <cell r="D55">
            <v>189</v>
          </cell>
        </row>
        <row r="56">
          <cell r="B56" t="str">
            <v>ANT-0053</v>
          </cell>
          <cell r="C56">
            <v>9</v>
          </cell>
          <cell r="D56">
            <v>617</v>
          </cell>
        </row>
        <row r="57">
          <cell r="B57" t="str">
            <v>ANT-0054</v>
          </cell>
          <cell r="C57">
            <v>5</v>
          </cell>
          <cell r="D57">
            <v>314</v>
          </cell>
        </row>
        <row r="58">
          <cell r="B58" t="str">
            <v>ANT-0055</v>
          </cell>
          <cell r="C58">
            <v>3</v>
          </cell>
          <cell r="D58">
            <v>180</v>
          </cell>
        </row>
        <row r="59">
          <cell r="B59" t="str">
            <v>ANT-0056</v>
          </cell>
          <cell r="C59">
            <v>9</v>
          </cell>
          <cell r="D59">
            <v>384</v>
          </cell>
        </row>
        <row r="60">
          <cell r="B60" t="str">
            <v>ANT-0057</v>
          </cell>
          <cell r="C60">
            <v>5</v>
          </cell>
          <cell r="D60">
            <v>173</v>
          </cell>
        </row>
        <row r="61">
          <cell r="B61" t="str">
            <v>ANT-0058</v>
          </cell>
          <cell r="C61">
            <v>5</v>
          </cell>
          <cell r="D61">
            <v>351</v>
          </cell>
        </row>
        <row r="62">
          <cell r="B62" t="str">
            <v>ANT-0059</v>
          </cell>
          <cell r="C62">
            <v>6</v>
          </cell>
          <cell r="D62">
            <v>321</v>
          </cell>
        </row>
        <row r="63">
          <cell r="B63" t="str">
            <v>ANT-0060</v>
          </cell>
          <cell r="C63">
            <v>5</v>
          </cell>
          <cell r="D63">
            <v>393</v>
          </cell>
        </row>
        <row r="64">
          <cell r="B64" t="str">
            <v>ANT-0061</v>
          </cell>
          <cell r="C64">
            <v>2</v>
          </cell>
          <cell r="D64">
            <v>155</v>
          </cell>
        </row>
        <row r="65">
          <cell r="B65" t="str">
            <v>ANT-0062</v>
          </cell>
          <cell r="C65">
            <v>8</v>
          </cell>
          <cell r="D65">
            <v>449</v>
          </cell>
        </row>
        <row r="66">
          <cell r="B66" t="str">
            <v>ANT-0063</v>
          </cell>
          <cell r="C66">
            <v>9</v>
          </cell>
          <cell r="D66">
            <v>631</v>
          </cell>
        </row>
        <row r="67">
          <cell r="B67" t="str">
            <v>ANT-0064</v>
          </cell>
          <cell r="C67">
            <v>7</v>
          </cell>
          <cell r="D67">
            <v>361</v>
          </cell>
        </row>
        <row r="68">
          <cell r="B68" t="str">
            <v>ANT-0065</v>
          </cell>
          <cell r="C68">
            <v>3</v>
          </cell>
          <cell r="D68">
            <v>149</v>
          </cell>
        </row>
        <row r="69">
          <cell r="B69" t="str">
            <v>ANT-0066</v>
          </cell>
          <cell r="C69">
            <v>4</v>
          </cell>
          <cell r="D69">
            <v>272</v>
          </cell>
        </row>
        <row r="70">
          <cell r="B70" t="str">
            <v>ANT-0067</v>
          </cell>
          <cell r="C70">
            <v>3</v>
          </cell>
          <cell r="D70">
            <v>92</v>
          </cell>
        </row>
        <row r="71">
          <cell r="B71" t="str">
            <v>ANT-0068</v>
          </cell>
          <cell r="C71">
            <v>3</v>
          </cell>
          <cell r="D71">
            <v>151</v>
          </cell>
        </row>
        <row r="72">
          <cell r="B72" t="str">
            <v>ANT-0069</v>
          </cell>
          <cell r="C72">
            <v>8</v>
          </cell>
          <cell r="D72">
            <v>640</v>
          </cell>
        </row>
        <row r="73">
          <cell r="B73" t="str">
            <v>ANT-0070</v>
          </cell>
          <cell r="C73">
            <v>4</v>
          </cell>
          <cell r="D73">
            <v>177</v>
          </cell>
        </row>
        <row r="74">
          <cell r="B74" t="str">
            <v>ANT-0071</v>
          </cell>
          <cell r="C74">
            <v>6</v>
          </cell>
          <cell r="D74">
            <v>416</v>
          </cell>
        </row>
        <row r="75">
          <cell r="B75" t="str">
            <v>ANT-0072</v>
          </cell>
          <cell r="C75">
            <v>3</v>
          </cell>
          <cell r="D75">
            <v>209</v>
          </cell>
        </row>
        <row r="76">
          <cell r="B76" t="str">
            <v>ANT-0073</v>
          </cell>
          <cell r="C76">
            <v>2</v>
          </cell>
          <cell r="D76">
            <v>151</v>
          </cell>
        </row>
        <row r="77">
          <cell r="B77" t="str">
            <v>ANT-0074</v>
          </cell>
          <cell r="C77">
            <v>4</v>
          </cell>
          <cell r="D77">
            <v>196</v>
          </cell>
        </row>
        <row r="78">
          <cell r="B78" t="str">
            <v>ANT-0075</v>
          </cell>
          <cell r="C78">
            <v>7</v>
          </cell>
          <cell r="D78">
            <v>334</v>
          </cell>
        </row>
        <row r="79">
          <cell r="B79" t="str">
            <v>ANT-0076</v>
          </cell>
          <cell r="C79">
            <v>4</v>
          </cell>
          <cell r="D79">
            <v>278</v>
          </cell>
        </row>
        <row r="80">
          <cell r="B80" t="str">
            <v>ANT-0077</v>
          </cell>
          <cell r="C80">
            <v>13</v>
          </cell>
          <cell r="D80">
            <v>731</v>
          </cell>
        </row>
        <row r="81">
          <cell r="B81" t="str">
            <v>ANT-0078</v>
          </cell>
          <cell r="C81">
            <v>6</v>
          </cell>
          <cell r="D81">
            <v>489</v>
          </cell>
        </row>
        <row r="82">
          <cell r="B82" t="str">
            <v>ANT-0079</v>
          </cell>
          <cell r="C82">
            <v>4</v>
          </cell>
          <cell r="D82">
            <v>300</v>
          </cell>
        </row>
        <row r="83">
          <cell r="B83" t="str">
            <v>ANT-0080</v>
          </cell>
          <cell r="C83">
            <v>2</v>
          </cell>
          <cell r="D83">
            <v>137</v>
          </cell>
        </row>
        <row r="84">
          <cell r="B84" t="str">
            <v>ANT-0081</v>
          </cell>
          <cell r="C84">
            <v>9</v>
          </cell>
          <cell r="D84">
            <v>608</v>
          </cell>
        </row>
        <row r="85">
          <cell r="B85" t="str">
            <v>ANT-0082</v>
          </cell>
          <cell r="C85">
            <v>6</v>
          </cell>
          <cell r="D85">
            <v>480</v>
          </cell>
        </row>
        <row r="86">
          <cell r="B86" t="str">
            <v>ANT-0083</v>
          </cell>
          <cell r="C86">
            <v>4</v>
          </cell>
          <cell r="D86">
            <v>167</v>
          </cell>
        </row>
        <row r="87">
          <cell r="B87" t="str">
            <v>ANT-0084</v>
          </cell>
          <cell r="C87">
            <v>4</v>
          </cell>
          <cell r="D87">
            <v>373</v>
          </cell>
        </row>
        <row r="88">
          <cell r="B88" t="str">
            <v>ANT-0085</v>
          </cell>
          <cell r="C88">
            <v>7</v>
          </cell>
          <cell r="D88">
            <v>553</v>
          </cell>
        </row>
        <row r="89">
          <cell r="B89" t="str">
            <v>ANT-0086</v>
          </cell>
          <cell r="C89">
            <v>4</v>
          </cell>
          <cell r="D89">
            <v>228</v>
          </cell>
        </row>
        <row r="90">
          <cell r="B90" t="str">
            <v>ANT-0087</v>
          </cell>
          <cell r="C90">
            <v>2</v>
          </cell>
          <cell r="D90">
            <v>77</v>
          </cell>
        </row>
        <row r="91">
          <cell r="B91" t="str">
            <v>ANT-0088</v>
          </cell>
          <cell r="C91">
            <v>5</v>
          </cell>
          <cell r="D91">
            <v>369</v>
          </cell>
        </row>
        <row r="92">
          <cell r="B92" t="str">
            <v>ANT-0089</v>
          </cell>
          <cell r="C92">
            <v>5</v>
          </cell>
          <cell r="D92">
            <v>277</v>
          </cell>
        </row>
        <row r="93">
          <cell r="B93" t="str">
            <v>ANT-0090</v>
          </cell>
          <cell r="C93">
            <v>5</v>
          </cell>
          <cell r="D93">
            <v>184</v>
          </cell>
        </row>
        <row r="94">
          <cell r="B94" t="str">
            <v>ANT-0091</v>
          </cell>
          <cell r="C94">
            <v>6</v>
          </cell>
          <cell r="D94">
            <v>373</v>
          </cell>
        </row>
        <row r="95">
          <cell r="B95" t="str">
            <v>ANT-0092</v>
          </cell>
          <cell r="C95">
            <v>4</v>
          </cell>
          <cell r="D95">
            <v>198</v>
          </cell>
        </row>
        <row r="96">
          <cell r="B96" t="str">
            <v>ANT-0093</v>
          </cell>
          <cell r="C96">
            <v>8</v>
          </cell>
          <cell r="D96">
            <v>495</v>
          </cell>
        </row>
        <row r="97">
          <cell r="B97" t="str">
            <v>ANT-0094</v>
          </cell>
          <cell r="C97">
            <v>4</v>
          </cell>
          <cell r="D97">
            <v>265</v>
          </cell>
        </row>
        <row r="98">
          <cell r="B98" t="str">
            <v>ANT-0095</v>
          </cell>
          <cell r="C98">
            <v>3</v>
          </cell>
          <cell r="D98">
            <v>273</v>
          </cell>
        </row>
        <row r="99">
          <cell r="B99" t="str">
            <v>ANT-0096</v>
          </cell>
          <cell r="C99">
            <v>6</v>
          </cell>
          <cell r="D99">
            <v>358</v>
          </cell>
        </row>
        <row r="100">
          <cell r="B100" t="str">
            <v>ANT-0097</v>
          </cell>
          <cell r="C100">
            <v>8</v>
          </cell>
          <cell r="D100">
            <v>510</v>
          </cell>
        </row>
        <row r="101">
          <cell r="B101" t="str">
            <v>ANT-0098</v>
          </cell>
          <cell r="C101">
            <v>11</v>
          </cell>
          <cell r="D101">
            <v>746</v>
          </cell>
        </row>
        <row r="102">
          <cell r="B102" t="str">
            <v>ANT-0099</v>
          </cell>
          <cell r="C102">
            <v>5</v>
          </cell>
          <cell r="D102">
            <v>412</v>
          </cell>
        </row>
        <row r="103">
          <cell r="B103" t="str">
            <v>ANT-0100</v>
          </cell>
          <cell r="C103">
            <v>10</v>
          </cell>
          <cell r="D103">
            <v>630</v>
          </cell>
        </row>
        <row r="104">
          <cell r="B104" t="str">
            <v>ANT-0101</v>
          </cell>
          <cell r="C104">
            <v>5</v>
          </cell>
          <cell r="D104">
            <v>312</v>
          </cell>
        </row>
        <row r="105">
          <cell r="B105" t="str">
            <v>ANT-0102</v>
          </cell>
          <cell r="C105">
            <v>8</v>
          </cell>
          <cell r="D105">
            <v>351</v>
          </cell>
        </row>
        <row r="106">
          <cell r="B106" t="str">
            <v>ANT-0103</v>
          </cell>
          <cell r="C106">
            <v>6</v>
          </cell>
          <cell r="D106">
            <v>445</v>
          </cell>
        </row>
        <row r="107">
          <cell r="B107" t="str">
            <v>ANT-0104</v>
          </cell>
          <cell r="C107">
            <v>4</v>
          </cell>
          <cell r="D107">
            <v>299</v>
          </cell>
        </row>
        <row r="108">
          <cell r="B108" t="str">
            <v>ANT-0105</v>
          </cell>
          <cell r="C108">
            <v>7</v>
          </cell>
          <cell r="D108">
            <v>381</v>
          </cell>
        </row>
        <row r="109">
          <cell r="B109" t="str">
            <v>ANT-0106</v>
          </cell>
          <cell r="C109">
            <v>8</v>
          </cell>
          <cell r="D109">
            <v>583</v>
          </cell>
        </row>
        <row r="110">
          <cell r="B110" t="str">
            <v>ANT-0107</v>
          </cell>
          <cell r="C110">
            <v>5</v>
          </cell>
          <cell r="D110">
            <v>294</v>
          </cell>
        </row>
        <row r="111">
          <cell r="B111" t="str">
            <v>ANT-0108</v>
          </cell>
          <cell r="C111">
            <v>6</v>
          </cell>
          <cell r="D111">
            <v>469</v>
          </cell>
        </row>
        <row r="112">
          <cell r="B112" t="str">
            <v>ANT-0109</v>
          </cell>
          <cell r="C112">
            <v>7</v>
          </cell>
          <cell r="D112">
            <v>507</v>
          </cell>
        </row>
        <row r="113">
          <cell r="B113" t="str">
            <v>ANT-0110</v>
          </cell>
          <cell r="C113">
            <v>4</v>
          </cell>
          <cell r="D113">
            <v>305</v>
          </cell>
        </row>
        <row r="114">
          <cell r="B114" t="str">
            <v>ANT-0111</v>
          </cell>
          <cell r="C114">
            <v>8</v>
          </cell>
          <cell r="D114">
            <v>513</v>
          </cell>
        </row>
        <row r="115">
          <cell r="B115" t="str">
            <v>ANT-0112</v>
          </cell>
          <cell r="C115">
            <v>3</v>
          </cell>
          <cell r="D115">
            <v>195</v>
          </cell>
        </row>
        <row r="116">
          <cell r="B116" t="str">
            <v>ANT-0113</v>
          </cell>
          <cell r="C116">
            <v>5</v>
          </cell>
          <cell r="D116">
            <v>395</v>
          </cell>
        </row>
        <row r="117">
          <cell r="B117" t="str">
            <v>ANT-0114</v>
          </cell>
          <cell r="C117">
            <v>2</v>
          </cell>
          <cell r="D117">
            <v>120</v>
          </cell>
        </row>
        <row r="118">
          <cell r="B118" t="str">
            <v>ANT-0115</v>
          </cell>
          <cell r="C118">
            <v>7</v>
          </cell>
          <cell r="D118">
            <v>361</v>
          </cell>
        </row>
        <row r="119">
          <cell r="B119" t="str">
            <v>ANT-0116</v>
          </cell>
          <cell r="C119">
            <v>9</v>
          </cell>
          <cell r="D119">
            <v>552</v>
          </cell>
        </row>
        <row r="120">
          <cell r="B120" t="str">
            <v>ANT-0117</v>
          </cell>
          <cell r="C120">
            <v>5</v>
          </cell>
          <cell r="D120">
            <v>420</v>
          </cell>
        </row>
        <row r="121">
          <cell r="B121" t="str">
            <v>ANT-0118</v>
          </cell>
          <cell r="C121">
            <v>10</v>
          </cell>
          <cell r="D121">
            <v>647</v>
          </cell>
        </row>
        <row r="122">
          <cell r="B122" t="str">
            <v>ANT-0119</v>
          </cell>
          <cell r="C122">
            <v>6</v>
          </cell>
          <cell r="D122">
            <v>320</v>
          </cell>
        </row>
        <row r="123">
          <cell r="B123" t="str">
            <v>ANT-0120</v>
          </cell>
          <cell r="C123">
            <v>2</v>
          </cell>
          <cell r="D123">
            <v>118</v>
          </cell>
        </row>
        <row r="124">
          <cell r="B124" t="str">
            <v>ANT-0121</v>
          </cell>
          <cell r="C124">
            <v>3</v>
          </cell>
          <cell r="D124">
            <v>257</v>
          </cell>
        </row>
        <row r="125">
          <cell r="B125" t="str">
            <v>ANT-0122</v>
          </cell>
          <cell r="C125">
            <v>5</v>
          </cell>
          <cell r="D125">
            <v>244</v>
          </cell>
        </row>
        <row r="126">
          <cell r="B126" t="str">
            <v>ANT-0123</v>
          </cell>
          <cell r="C126">
            <v>5</v>
          </cell>
          <cell r="D126">
            <v>402</v>
          </cell>
        </row>
        <row r="127">
          <cell r="B127" t="str">
            <v>ANT-0124</v>
          </cell>
          <cell r="C127">
            <v>4</v>
          </cell>
          <cell r="D127">
            <v>118</v>
          </cell>
        </row>
        <row r="128">
          <cell r="B128" t="str">
            <v>ANT-0125</v>
          </cell>
          <cell r="C128">
            <v>4</v>
          </cell>
          <cell r="D128">
            <v>356</v>
          </cell>
        </row>
        <row r="129">
          <cell r="B129" t="str">
            <v>ANT-0126</v>
          </cell>
          <cell r="C129">
            <v>10</v>
          </cell>
          <cell r="D129">
            <v>658</v>
          </cell>
        </row>
        <row r="130">
          <cell r="B130" t="str">
            <v>ANT-0127</v>
          </cell>
          <cell r="C130">
            <v>6</v>
          </cell>
          <cell r="D130">
            <v>444</v>
          </cell>
        </row>
        <row r="131">
          <cell r="B131" t="str">
            <v>ANT-0128</v>
          </cell>
          <cell r="C131">
            <v>5</v>
          </cell>
          <cell r="D131">
            <v>433</v>
          </cell>
        </row>
        <row r="132">
          <cell r="B132" t="str">
            <v>ANT-0129</v>
          </cell>
          <cell r="C132">
            <v>4</v>
          </cell>
          <cell r="D132">
            <v>228</v>
          </cell>
        </row>
        <row r="133">
          <cell r="B133" t="str">
            <v>ANT-0130</v>
          </cell>
          <cell r="C133">
            <v>5</v>
          </cell>
          <cell r="D133">
            <v>311</v>
          </cell>
        </row>
        <row r="134">
          <cell r="B134" t="str">
            <v>ANT-0131</v>
          </cell>
          <cell r="C134">
            <v>5</v>
          </cell>
          <cell r="D134">
            <v>328</v>
          </cell>
        </row>
        <row r="135">
          <cell r="B135" t="str">
            <v>ANT-0132</v>
          </cell>
          <cell r="C135">
            <v>3</v>
          </cell>
          <cell r="D135">
            <v>192</v>
          </cell>
        </row>
        <row r="136">
          <cell r="B136" t="str">
            <v>ANT-0133</v>
          </cell>
          <cell r="C136">
            <v>2</v>
          </cell>
          <cell r="D136">
            <v>106</v>
          </cell>
        </row>
        <row r="137">
          <cell r="B137" t="str">
            <v>ANT-0134</v>
          </cell>
          <cell r="C137">
            <v>5</v>
          </cell>
          <cell r="D137">
            <v>230</v>
          </cell>
        </row>
        <row r="138">
          <cell r="B138" t="str">
            <v>ANT-0135</v>
          </cell>
          <cell r="C138">
            <v>6</v>
          </cell>
          <cell r="D138">
            <v>564</v>
          </cell>
        </row>
        <row r="139">
          <cell r="B139" t="str">
            <v>ANT-0136</v>
          </cell>
          <cell r="C139">
            <v>7</v>
          </cell>
          <cell r="D139">
            <v>416</v>
          </cell>
        </row>
        <row r="140">
          <cell r="B140" t="str">
            <v>ANT-0137</v>
          </cell>
          <cell r="C140">
            <v>4</v>
          </cell>
          <cell r="D140">
            <v>266</v>
          </cell>
        </row>
        <row r="141">
          <cell r="B141" t="str">
            <v>ANT-0138</v>
          </cell>
          <cell r="C141">
            <v>8</v>
          </cell>
          <cell r="D141">
            <v>596</v>
          </cell>
        </row>
        <row r="142">
          <cell r="B142" t="str">
            <v>ANT-0139</v>
          </cell>
          <cell r="C142">
            <v>6</v>
          </cell>
          <cell r="D142">
            <v>374</v>
          </cell>
        </row>
        <row r="143">
          <cell r="B143" t="str">
            <v>ANT-0140</v>
          </cell>
          <cell r="C143">
            <v>7</v>
          </cell>
          <cell r="D143">
            <v>434</v>
          </cell>
        </row>
        <row r="144">
          <cell r="B144" t="str">
            <v>ANT-0141</v>
          </cell>
          <cell r="C144">
            <v>6</v>
          </cell>
          <cell r="D144">
            <v>303</v>
          </cell>
        </row>
        <row r="145">
          <cell r="B145" t="str">
            <v>ANT-0142</v>
          </cell>
          <cell r="C145">
            <v>8</v>
          </cell>
          <cell r="D145">
            <v>497</v>
          </cell>
        </row>
        <row r="146">
          <cell r="B146" t="str">
            <v>ANT-0143</v>
          </cell>
          <cell r="C146">
            <v>8</v>
          </cell>
          <cell r="D146">
            <v>442</v>
          </cell>
        </row>
        <row r="147">
          <cell r="B147" t="str">
            <v>ANT-0144</v>
          </cell>
          <cell r="C147">
            <v>5</v>
          </cell>
          <cell r="D147">
            <v>371</v>
          </cell>
        </row>
        <row r="148">
          <cell r="B148" t="str">
            <v>ANT-0145</v>
          </cell>
          <cell r="C148">
            <v>10</v>
          </cell>
          <cell r="D148">
            <v>638</v>
          </cell>
        </row>
        <row r="149">
          <cell r="B149" t="str">
            <v>ANT-0146</v>
          </cell>
          <cell r="C149">
            <v>5</v>
          </cell>
          <cell r="D149">
            <v>233</v>
          </cell>
        </row>
        <row r="150">
          <cell r="B150" t="str">
            <v>ANT-0147</v>
          </cell>
          <cell r="C150">
            <v>3</v>
          </cell>
          <cell r="D150">
            <v>192</v>
          </cell>
        </row>
        <row r="151">
          <cell r="B151" t="str">
            <v>ANT-0148</v>
          </cell>
          <cell r="C151">
            <v>6</v>
          </cell>
          <cell r="D151">
            <v>357</v>
          </cell>
        </row>
        <row r="152">
          <cell r="B152" t="str">
            <v>ANT-0149</v>
          </cell>
          <cell r="C152">
            <v>3</v>
          </cell>
          <cell r="D152">
            <v>196</v>
          </cell>
        </row>
        <row r="153">
          <cell r="B153" t="str">
            <v>ANT-0150</v>
          </cell>
          <cell r="C153">
            <v>3</v>
          </cell>
          <cell r="D153">
            <v>79</v>
          </cell>
        </row>
        <row r="154">
          <cell r="B154" t="str">
            <v>ANT-0151</v>
          </cell>
          <cell r="C154">
            <v>4</v>
          </cell>
          <cell r="D154">
            <v>212</v>
          </cell>
        </row>
        <row r="155">
          <cell r="B155" t="str">
            <v>ANT-0152</v>
          </cell>
          <cell r="C155">
            <v>6</v>
          </cell>
          <cell r="D155">
            <v>207</v>
          </cell>
        </row>
        <row r="156">
          <cell r="B156" t="str">
            <v>ANT-0153</v>
          </cell>
          <cell r="C156">
            <v>10</v>
          </cell>
          <cell r="D156">
            <v>599</v>
          </cell>
        </row>
        <row r="157">
          <cell r="B157" t="str">
            <v>ANT-0154</v>
          </cell>
          <cell r="C157">
            <v>5</v>
          </cell>
          <cell r="D157">
            <v>454</v>
          </cell>
        </row>
        <row r="158">
          <cell r="B158" t="str">
            <v>ANT-0155</v>
          </cell>
          <cell r="C158">
            <v>6</v>
          </cell>
          <cell r="D158">
            <v>354</v>
          </cell>
        </row>
        <row r="159">
          <cell r="B159" t="str">
            <v>ANT-0157</v>
          </cell>
          <cell r="C159">
            <v>3</v>
          </cell>
          <cell r="D159">
            <v>226</v>
          </cell>
        </row>
        <row r="160">
          <cell r="B160" t="str">
            <v>ANT-0158</v>
          </cell>
          <cell r="C160">
            <v>7</v>
          </cell>
          <cell r="D160">
            <v>528</v>
          </cell>
        </row>
        <row r="161">
          <cell r="B161" t="str">
            <v>ANT-0159</v>
          </cell>
          <cell r="C161">
            <v>8</v>
          </cell>
          <cell r="D161">
            <v>562</v>
          </cell>
        </row>
        <row r="162">
          <cell r="B162" t="str">
            <v>ANT-0161</v>
          </cell>
          <cell r="C162">
            <v>2</v>
          </cell>
          <cell r="D162">
            <v>160</v>
          </cell>
        </row>
        <row r="163">
          <cell r="B163" t="str">
            <v>ANT-0162</v>
          </cell>
          <cell r="C163">
            <v>3</v>
          </cell>
          <cell r="D163">
            <v>105</v>
          </cell>
        </row>
        <row r="164">
          <cell r="B164" t="str">
            <v>ANT-0163</v>
          </cell>
          <cell r="C164">
            <v>7</v>
          </cell>
          <cell r="D164">
            <v>473</v>
          </cell>
        </row>
        <row r="165">
          <cell r="B165" t="str">
            <v>ANT-0164</v>
          </cell>
          <cell r="C165">
            <v>8</v>
          </cell>
          <cell r="D165">
            <v>461</v>
          </cell>
        </row>
        <row r="166">
          <cell r="B166" t="str">
            <v>ANT-0165</v>
          </cell>
          <cell r="C166">
            <v>5</v>
          </cell>
          <cell r="D166">
            <v>296</v>
          </cell>
        </row>
        <row r="167">
          <cell r="B167" t="str">
            <v>ANT-0166</v>
          </cell>
          <cell r="C167">
            <v>11</v>
          </cell>
          <cell r="D167">
            <v>456</v>
          </cell>
        </row>
        <row r="168">
          <cell r="B168" t="str">
            <v>ANT-0167</v>
          </cell>
          <cell r="C168">
            <v>3</v>
          </cell>
          <cell r="D168">
            <v>201</v>
          </cell>
        </row>
        <row r="169">
          <cell r="B169" t="str">
            <v>ANT-0168</v>
          </cell>
          <cell r="C169">
            <v>4</v>
          </cell>
          <cell r="D169">
            <v>218</v>
          </cell>
        </row>
        <row r="170">
          <cell r="B170" t="str">
            <v>ANT-0169</v>
          </cell>
          <cell r="C170">
            <v>6</v>
          </cell>
          <cell r="D170">
            <v>425</v>
          </cell>
        </row>
        <row r="171">
          <cell r="B171" t="str">
            <v>ANT-0170</v>
          </cell>
          <cell r="C171">
            <v>4</v>
          </cell>
          <cell r="D171">
            <v>255</v>
          </cell>
        </row>
        <row r="172">
          <cell r="B172" t="str">
            <v>ANT-0171</v>
          </cell>
          <cell r="C172">
            <v>2</v>
          </cell>
          <cell r="D172">
            <v>137</v>
          </cell>
        </row>
        <row r="173">
          <cell r="B173" t="str">
            <v>ANT-0172</v>
          </cell>
          <cell r="C173">
            <v>4</v>
          </cell>
          <cell r="D173">
            <v>221</v>
          </cell>
        </row>
        <row r="174">
          <cell r="B174" t="str">
            <v>ANT-0173</v>
          </cell>
          <cell r="C174">
            <v>10</v>
          </cell>
          <cell r="D174">
            <v>646</v>
          </cell>
        </row>
        <row r="175">
          <cell r="B175" t="str">
            <v>ANT-0174</v>
          </cell>
          <cell r="C175">
            <v>5</v>
          </cell>
          <cell r="D175">
            <v>314</v>
          </cell>
        </row>
        <row r="176">
          <cell r="B176" t="str">
            <v>ANT-0175</v>
          </cell>
          <cell r="C176">
            <v>3</v>
          </cell>
          <cell r="D176">
            <v>164</v>
          </cell>
        </row>
        <row r="177">
          <cell r="B177" t="str">
            <v>ANT-0176</v>
          </cell>
          <cell r="C177">
            <v>6</v>
          </cell>
          <cell r="D177">
            <v>204</v>
          </cell>
        </row>
        <row r="178">
          <cell r="B178" t="str">
            <v>ANT-0177</v>
          </cell>
          <cell r="C178">
            <v>3</v>
          </cell>
          <cell r="D178">
            <v>198</v>
          </cell>
        </row>
        <row r="179">
          <cell r="B179" t="str">
            <v>ANT-0178</v>
          </cell>
          <cell r="C179">
            <v>7</v>
          </cell>
          <cell r="D179">
            <v>434</v>
          </cell>
        </row>
        <row r="180">
          <cell r="B180" t="str">
            <v>ANT-0179</v>
          </cell>
          <cell r="C180">
            <v>5</v>
          </cell>
          <cell r="D180">
            <v>328</v>
          </cell>
        </row>
        <row r="181">
          <cell r="B181" t="str">
            <v>ANT-0180</v>
          </cell>
          <cell r="C181">
            <v>5</v>
          </cell>
          <cell r="D181">
            <v>229</v>
          </cell>
        </row>
        <row r="182">
          <cell r="B182" t="str">
            <v>ANT-0181</v>
          </cell>
          <cell r="C182">
            <v>5</v>
          </cell>
          <cell r="D182">
            <v>296</v>
          </cell>
        </row>
        <row r="183">
          <cell r="B183" t="str">
            <v>ANT-0182</v>
          </cell>
          <cell r="C183">
            <v>5</v>
          </cell>
          <cell r="D183">
            <v>316</v>
          </cell>
        </row>
        <row r="184">
          <cell r="B184" t="str">
            <v>ANT-0183</v>
          </cell>
          <cell r="C184">
            <v>5</v>
          </cell>
          <cell r="D184">
            <v>307</v>
          </cell>
        </row>
        <row r="185">
          <cell r="B185" t="str">
            <v>ANT-0184</v>
          </cell>
          <cell r="C185">
            <v>2</v>
          </cell>
          <cell r="D185">
            <v>165</v>
          </cell>
        </row>
        <row r="186">
          <cell r="B186" t="str">
            <v>ANT-0185</v>
          </cell>
          <cell r="C186">
            <v>9</v>
          </cell>
          <cell r="D186">
            <v>494</v>
          </cell>
        </row>
        <row r="187">
          <cell r="B187" t="str">
            <v>ANT-0186</v>
          </cell>
          <cell r="C187">
            <v>7</v>
          </cell>
          <cell r="D187">
            <v>492</v>
          </cell>
        </row>
        <row r="188">
          <cell r="B188" t="str">
            <v>ANT-0187</v>
          </cell>
          <cell r="C188">
            <v>4</v>
          </cell>
          <cell r="D188">
            <v>257</v>
          </cell>
        </row>
        <row r="189">
          <cell r="B189" t="str">
            <v>ANT-0188</v>
          </cell>
          <cell r="C189">
            <v>1</v>
          </cell>
          <cell r="D189">
            <v>26</v>
          </cell>
        </row>
        <row r="190">
          <cell r="B190" t="str">
            <v>ANT-0189</v>
          </cell>
          <cell r="C190">
            <v>5</v>
          </cell>
          <cell r="D190">
            <v>246</v>
          </cell>
        </row>
        <row r="191">
          <cell r="B191" t="str">
            <v>ANT-0190</v>
          </cell>
          <cell r="C191">
            <v>7</v>
          </cell>
          <cell r="D191">
            <v>366</v>
          </cell>
        </row>
        <row r="192">
          <cell r="B192" t="str">
            <v>ANT-0191</v>
          </cell>
          <cell r="C192">
            <v>3</v>
          </cell>
          <cell r="D192">
            <v>125</v>
          </cell>
        </row>
        <row r="193">
          <cell r="B193" t="str">
            <v>ANT-0192</v>
          </cell>
          <cell r="C193">
            <v>2</v>
          </cell>
          <cell r="D193">
            <v>140</v>
          </cell>
        </row>
        <row r="194">
          <cell r="B194" t="str">
            <v>ANT-0193</v>
          </cell>
          <cell r="C194">
            <v>7</v>
          </cell>
          <cell r="D194">
            <v>535</v>
          </cell>
        </row>
        <row r="195">
          <cell r="B195" t="str">
            <v>ANT-0194</v>
          </cell>
          <cell r="C195">
            <v>8</v>
          </cell>
          <cell r="D195">
            <v>374</v>
          </cell>
        </row>
        <row r="196">
          <cell r="B196" t="str">
            <v>ANT-0195</v>
          </cell>
          <cell r="C196">
            <v>7</v>
          </cell>
          <cell r="D196">
            <v>516</v>
          </cell>
        </row>
        <row r="197">
          <cell r="B197" t="str">
            <v>ANT-0196</v>
          </cell>
          <cell r="C197">
            <v>4</v>
          </cell>
          <cell r="D197">
            <v>396</v>
          </cell>
        </row>
        <row r="198">
          <cell r="B198" t="str">
            <v>ANT-0197</v>
          </cell>
          <cell r="C198">
            <v>8</v>
          </cell>
          <cell r="D198">
            <v>550</v>
          </cell>
        </row>
        <row r="199">
          <cell r="B199" t="str">
            <v>ANT-0198</v>
          </cell>
          <cell r="C199">
            <v>4</v>
          </cell>
          <cell r="D199">
            <v>389</v>
          </cell>
        </row>
        <row r="200">
          <cell r="B200" t="str">
            <v>ANT-0199</v>
          </cell>
          <cell r="C200">
            <v>6</v>
          </cell>
          <cell r="D200">
            <v>150</v>
          </cell>
        </row>
        <row r="201">
          <cell r="B201" t="str">
            <v>ANT-0200</v>
          </cell>
          <cell r="C201">
            <v>2</v>
          </cell>
          <cell r="D201">
            <v>111</v>
          </cell>
        </row>
        <row r="202">
          <cell r="B202" t="str">
            <v>ANT-0203</v>
          </cell>
          <cell r="C202">
            <v>1</v>
          </cell>
          <cell r="D202">
            <v>49</v>
          </cell>
        </row>
        <row r="203">
          <cell r="B203" t="str">
            <v>ANT-0204</v>
          </cell>
          <cell r="C203">
            <v>1</v>
          </cell>
          <cell r="D203">
            <v>106</v>
          </cell>
        </row>
        <row r="204">
          <cell r="B204" t="str">
            <v>ANT-0205</v>
          </cell>
          <cell r="C204">
            <v>3</v>
          </cell>
          <cell r="D204">
            <v>270</v>
          </cell>
        </row>
        <row r="205">
          <cell r="B205" t="str">
            <v>ANT-0206</v>
          </cell>
          <cell r="C205">
            <v>1</v>
          </cell>
          <cell r="D205">
            <v>82</v>
          </cell>
        </row>
        <row r="206">
          <cell r="B206" t="str">
            <v>ANT-0209</v>
          </cell>
          <cell r="C206">
            <v>1</v>
          </cell>
          <cell r="D206">
            <v>46</v>
          </cell>
        </row>
        <row r="207">
          <cell r="B207" t="str">
            <v>ANT-0211</v>
          </cell>
          <cell r="C207">
            <v>2</v>
          </cell>
          <cell r="D207">
            <v>53</v>
          </cell>
        </row>
        <row r="208">
          <cell r="B208" t="str">
            <v>ANT-0212</v>
          </cell>
          <cell r="C208">
            <v>1</v>
          </cell>
          <cell r="D208">
            <v>87</v>
          </cell>
        </row>
        <row r="209">
          <cell r="B209" t="str">
            <v>ANT-0215</v>
          </cell>
          <cell r="C209">
            <v>1</v>
          </cell>
          <cell r="D209">
            <v>22</v>
          </cell>
        </row>
        <row r="210">
          <cell r="B210" t="str">
            <v>ANT-0221</v>
          </cell>
          <cell r="C210">
            <v>1</v>
          </cell>
          <cell r="D210">
            <v>35</v>
          </cell>
        </row>
        <row r="211">
          <cell r="B211" t="str">
            <v>ANT-0224</v>
          </cell>
          <cell r="C211">
            <v>1</v>
          </cell>
          <cell r="D211">
            <v>68</v>
          </cell>
        </row>
        <row r="212">
          <cell r="B212" t="str">
            <v>ANT-0225</v>
          </cell>
          <cell r="C212">
            <v>1</v>
          </cell>
          <cell r="D212">
            <v>112</v>
          </cell>
        </row>
        <row r="213">
          <cell r="B213" t="str">
            <v>ANT-0226</v>
          </cell>
          <cell r="C213">
            <v>1</v>
          </cell>
          <cell r="D213">
            <v>27</v>
          </cell>
        </row>
        <row r="214">
          <cell r="B214" t="str">
            <v>ANT-0227</v>
          </cell>
          <cell r="C214">
            <v>2</v>
          </cell>
          <cell r="D214">
            <v>91</v>
          </cell>
        </row>
        <row r="215">
          <cell r="B215" t="str">
            <v>ANT-0229</v>
          </cell>
          <cell r="C215">
            <v>2</v>
          </cell>
          <cell r="D215">
            <v>75</v>
          </cell>
        </row>
        <row r="216">
          <cell r="B216" t="str">
            <v>ANT-0231</v>
          </cell>
          <cell r="C216">
            <v>1</v>
          </cell>
          <cell r="D216">
            <v>28</v>
          </cell>
        </row>
        <row r="217">
          <cell r="B217" t="str">
            <v>ANT-0232</v>
          </cell>
          <cell r="C217">
            <v>2</v>
          </cell>
          <cell r="D217">
            <v>196</v>
          </cell>
        </row>
        <row r="218">
          <cell r="B218" t="str">
            <v>ANT-0233</v>
          </cell>
          <cell r="C218">
            <v>1</v>
          </cell>
          <cell r="D218">
            <v>42</v>
          </cell>
        </row>
        <row r="219">
          <cell r="B219" t="str">
            <v>ANT-0236</v>
          </cell>
          <cell r="C219">
            <v>1</v>
          </cell>
          <cell r="D219">
            <v>98</v>
          </cell>
        </row>
        <row r="220">
          <cell r="B220" t="str">
            <v>ANT-0238</v>
          </cell>
          <cell r="C220">
            <v>2</v>
          </cell>
          <cell r="D220">
            <v>110</v>
          </cell>
        </row>
        <row r="221">
          <cell r="B221" t="str">
            <v>ANT-0239</v>
          </cell>
          <cell r="C221">
            <v>2</v>
          </cell>
          <cell r="D221">
            <v>94</v>
          </cell>
        </row>
        <row r="222">
          <cell r="B222" t="str">
            <v>ANT-0241</v>
          </cell>
          <cell r="C222">
            <v>1</v>
          </cell>
          <cell r="D222">
            <v>33</v>
          </cell>
        </row>
        <row r="223">
          <cell r="B223" t="str">
            <v>ANT-0242</v>
          </cell>
          <cell r="C223">
            <v>2</v>
          </cell>
          <cell r="D223">
            <v>113</v>
          </cell>
        </row>
        <row r="224">
          <cell r="B224" t="str">
            <v>ANT-0243</v>
          </cell>
          <cell r="C224">
            <v>1</v>
          </cell>
          <cell r="D224">
            <v>44</v>
          </cell>
        </row>
        <row r="225">
          <cell r="B225" t="str">
            <v>ANT-0244</v>
          </cell>
          <cell r="C225">
            <v>1</v>
          </cell>
          <cell r="D225">
            <v>77</v>
          </cell>
        </row>
        <row r="226">
          <cell r="B226" t="str">
            <v>ANT-0245</v>
          </cell>
          <cell r="C226">
            <v>1</v>
          </cell>
          <cell r="D226">
            <v>63</v>
          </cell>
        </row>
        <row r="227">
          <cell r="B227" t="str">
            <v>ANT-0246</v>
          </cell>
          <cell r="C227">
            <v>3</v>
          </cell>
          <cell r="D227">
            <v>251</v>
          </cell>
        </row>
        <row r="228">
          <cell r="B228" t="str">
            <v>ANT-0247</v>
          </cell>
          <cell r="C228">
            <v>6</v>
          </cell>
          <cell r="D228">
            <v>330</v>
          </cell>
        </row>
        <row r="229">
          <cell r="B229" t="str">
            <v>ANT-0248</v>
          </cell>
          <cell r="C229">
            <v>2</v>
          </cell>
          <cell r="D229">
            <v>169</v>
          </cell>
        </row>
        <row r="230">
          <cell r="B230" t="str">
            <v>ANT-0250</v>
          </cell>
          <cell r="C230">
            <v>3</v>
          </cell>
          <cell r="D230">
            <v>227</v>
          </cell>
        </row>
        <row r="231">
          <cell r="B231" t="str">
            <v>ANT-0254</v>
          </cell>
          <cell r="C231">
            <v>4</v>
          </cell>
          <cell r="D231">
            <v>329</v>
          </cell>
        </row>
        <row r="232">
          <cell r="B232" t="str">
            <v>ANT-0255</v>
          </cell>
          <cell r="C232">
            <v>1</v>
          </cell>
          <cell r="D232">
            <v>43</v>
          </cell>
        </row>
        <row r="233">
          <cell r="B233" t="str">
            <v>ANT-0257</v>
          </cell>
          <cell r="C233">
            <v>2</v>
          </cell>
          <cell r="D233">
            <v>177</v>
          </cell>
        </row>
        <row r="234">
          <cell r="B234" t="str">
            <v>ANT-0258</v>
          </cell>
          <cell r="C234">
            <v>1</v>
          </cell>
          <cell r="D234">
            <v>38</v>
          </cell>
        </row>
        <row r="235">
          <cell r="B235" t="str">
            <v>ANT-0259</v>
          </cell>
          <cell r="C235">
            <v>4</v>
          </cell>
          <cell r="D235">
            <v>162</v>
          </cell>
        </row>
        <row r="236">
          <cell r="B236" t="str">
            <v>ANT-0262</v>
          </cell>
          <cell r="C236">
            <v>1</v>
          </cell>
          <cell r="D236">
            <v>75</v>
          </cell>
        </row>
        <row r="237">
          <cell r="B237" t="str">
            <v>ANT-0264</v>
          </cell>
          <cell r="C237">
            <v>1</v>
          </cell>
          <cell r="D237">
            <v>33</v>
          </cell>
        </row>
        <row r="238">
          <cell r="B238" t="str">
            <v>ANT-0266</v>
          </cell>
          <cell r="C238">
            <v>1</v>
          </cell>
          <cell r="D238">
            <v>33</v>
          </cell>
        </row>
        <row r="239">
          <cell r="B239" t="str">
            <v>ANT-0268</v>
          </cell>
          <cell r="C239">
            <v>2</v>
          </cell>
          <cell r="D239">
            <v>126</v>
          </cell>
        </row>
        <row r="240">
          <cell r="B240" t="str">
            <v>ANT-0269</v>
          </cell>
          <cell r="C240">
            <v>1</v>
          </cell>
          <cell r="D240">
            <v>108</v>
          </cell>
        </row>
        <row r="241">
          <cell r="B241" t="str">
            <v>ANT-0270</v>
          </cell>
          <cell r="C241">
            <v>2</v>
          </cell>
          <cell r="D241">
            <v>87</v>
          </cell>
        </row>
        <row r="242">
          <cell r="B242" t="str">
            <v>ANT-0271</v>
          </cell>
          <cell r="C242">
            <v>2</v>
          </cell>
          <cell r="D242">
            <v>127</v>
          </cell>
        </row>
        <row r="243">
          <cell r="B243" t="str">
            <v>ANT-0274</v>
          </cell>
          <cell r="C243">
            <v>3</v>
          </cell>
          <cell r="D243">
            <v>221</v>
          </cell>
        </row>
        <row r="244">
          <cell r="B244" t="str">
            <v>ANT-0275</v>
          </cell>
          <cell r="C244">
            <v>1</v>
          </cell>
          <cell r="D244">
            <v>84</v>
          </cell>
        </row>
        <row r="245">
          <cell r="B245" t="str">
            <v>ANT-0276</v>
          </cell>
          <cell r="C245">
            <v>1</v>
          </cell>
          <cell r="D245">
            <v>11</v>
          </cell>
        </row>
        <row r="246">
          <cell r="B246" t="str">
            <v>ANT-0277</v>
          </cell>
          <cell r="C246">
            <v>1</v>
          </cell>
          <cell r="D246">
            <v>106</v>
          </cell>
        </row>
        <row r="247">
          <cell r="B247" t="str">
            <v>ANT-0280</v>
          </cell>
          <cell r="C247">
            <v>1</v>
          </cell>
          <cell r="D247">
            <v>82</v>
          </cell>
        </row>
        <row r="248">
          <cell r="B248" t="str">
            <v>ANT-0282</v>
          </cell>
          <cell r="C248">
            <v>5</v>
          </cell>
          <cell r="D248">
            <v>237</v>
          </cell>
        </row>
        <row r="249">
          <cell r="B249" t="str">
            <v>ANT-0283</v>
          </cell>
          <cell r="C249">
            <v>2</v>
          </cell>
          <cell r="D249">
            <v>141</v>
          </cell>
        </row>
        <row r="250">
          <cell r="B250" t="str">
            <v>ANT-0284</v>
          </cell>
          <cell r="C250">
            <v>4</v>
          </cell>
          <cell r="D250">
            <v>222</v>
          </cell>
        </row>
        <row r="251">
          <cell r="B251" t="str">
            <v>ANT-0286</v>
          </cell>
          <cell r="C251">
            <v>1</v>
          </cell>
          <cell r="D251">
            <v>11</v>
          </cell>
        </row>
        <row r="252">
          <cell r="B252" t="str">
            <v>ANT-0287</v>
          </cell>
          <cell r="C252">
            <v>2</v>
          </cell>
          <cell r="D252">
            <v>104</v>
          </cell>
        </row>
        <row r="253">
          <cell r="B253" t="str">
            <v>ANT-0288</v>
          </cell>
          <cell r="C253">
            <v>1</v>
          </cell>
          <cell r="D253">
            <v>63</v>
          </cell>
        </row>
        <row r="254">
          <cell r="B254" t="str">
            <v>ANT-0289</v>
          </cell>
          <cell r="C254">
            <v>1</v>
          </cell>
          <cell r="D254">
            <v>53</v>
          </cell>
        </row>
        <row r="255">
          <cell r="B255" t="str">
            <v>ANT-0290</v>
          </cell>
          <cell r="C255">
            <v>2</v>
          </cell>
          <cell r="D255">
            <v>39</v>
          </cell>
        </row>
        <row r="256">
          <cell r="B256" t="str">
            <v>ANT-0292</v>
          </cell>
          <cell r="C256">
            <v>3</v>
          </cell>
          <cell r="D256">
            <v>159</v>
          </cell>
        </row>
        <row r="257">
          <cell r="B257" t="str">
            <v>ANT-0293</v>
          </cell>
          <cell r="C257">
            <v>2</v>
          </cell>
          <cell r="D257">
            <v>111</v>
          </cell>
        </row>
        <row r="258">
          <cell r="B258" t="str">
            <v>ANT-0294</v>
          </cell>
          <cell r="C258">
            <v>1</v>
          </cell>
          <cell r="D258">
            <v>97</v>
          </cell>
        </row>
        <row r="259">
          <cell r="B259" t="str">
            <v>ANT-0295</v>
          </cell>
          <cell r="C259">
            <v>2</v>
          </cell>
          <cell r="D259">
            <v>157</v>
          </cell>
        </row>
        <row r="260">
          <cell r="B260" t="str">
            <v>ANT-0296</v>
          </cell>
          <cell r="C260">
            <v>1</v>
          </cell>
          <cell r="D260">
            <v>86</v>
          </cell>
        </row>
        <row r="261">
          <cell r="B261" t="str">
            <v>ANT-0298</v>
          </cell>
          <cell r="C261">
            <v>2</v>
          </cell>
          <cell r="D261">
            <v>97</v>
          </cell>
        </row>
        <row r="262">
          <cell r="B262" t="str">
            <v>ANT-0299</v>
          </cell>
          <cell r="C262">
            <v>2</v>
          </cell>
          <cell r="D262">
            <v>100</v>
          </cell>
        </row>
        <row r="263">
          <cell r="B263" t="str">
            <v>ANT-0302</v>
          </cell>
          <cell r="C263">
            <v>2</v>
          </cell>
          <cell r="D263">
            <v>107</v>
          </cell>
        </row>
        <row r="264">
          <cell r="B264" t="str">
            <v>ANT-0303</v>
          </cell>
          <cell r="C264">
            <v>2</v>
          </cell>
          <cell r="D264">
            <v>176</v>
          </cell>
        </row>
        <row r="265">
          <cell r="B265" t="str">
            <v>ANT-0305</v>
          </cell>
          <cell r="C265">
            <v>1</v>
          </cell>
          <cell r="D265">
            <v>67</v>
          </cell>
        </row>
        <row r="266">
          <cell r="B266" t="str">
            <v>ANT-0306</v>
          </cell>
          <cell r="C266">
            <v>4</v>
          </cell>
          <cell r="D266">
            <v>381</v>
          </cell>
        </row>
        <row r="267">
          <cell r="B267" t="str">
            <v>ANT-0307</v>
          </cell>
          <cell r="C267">
            <v>1</v>
          </cell>
          <cell r="D267">
            <v>52</v>
          </cell>
        </row>
        <row r="268">
          <cell r="B268" t="str">
            <v>ANT-0308</v>
          </cell>
          <cell r="C268">
            <v>1</v>
          </cell>
          <cell r="D268">
            <v>83</v>
          </cell>
        </row>
        <row r="269">
          <cell r="B269" t="str">
            <v>ANT-0309</v>
          </cell>
          <cell r="C269">
            <v>3</v>
          </cell>
          <cell r="D269">
            <v>267</v>
          </cell>
        </row>
        <row r="270">
          <cell r="B270" t="str">
            <v>ANT-0311</v>
          </cell>
          <cell r="C270">
            <v>1</v>
          </cell>
          <cell r="D270">
            <v>78</v>
          </cell>
        </row>
        <row r="271">
          <cell r="B271" t="str">
            <v>ANT-0312</v>
          </cell>
          <cell r="C271">
            <v>1</v>
          </cell>
          <cell r="D271">
            <v>11</v>
          </cell>
        </row>
        <row r="272">
          <cell r="B272" t="str">
            <v>ANT-0314</v>
          </cell>
          <cell r="C272">
            <v>1</v>
          </cell>
          <cell r="D272">
            <v>48</v>
          </cell>
        </row>
        <row r="273">
          <cell r="B273" t="str">
            <v>ANT-0315</v>
          </cell>
          <cell r="C273">
            <v>1</v>
          </cell>
          <cell r="D273">
            <v>103</v>
          </cell>
        </row>
        <row r="274">
          <cell r="B274" t="str">
            <v>ANT-0316</v>
          </cell>
          <cell r="C274">
            <v>2</v>
          </cell>
          <cell r="D274">
            <v>207</v>
          </cell>
        </row>
        <row r="275">
          <cell r="B275" t="str">
            <v>ANT-0317</v>
          </cell>
          <cell r="C275">
            <v>2</v>
          </cell>
          <cell r="D275">
            <v>54</v>
          </cell>
        </row>
        <row r="276">
          <cell r="B276" t="str">
            <v>ANT-0318</v>
          </cell>
          <cell r="C276">
            <v>1</v>
          </cell>
          <cell r="D276">
            <v>60</v>
          </cell>
        </row>
        <row r="277">
          <cell r="B277" t="str">
            <v>ANT-0321</v>
          </cell>
          <cell r="C277">
            <v>1</v>
          </cell>
          <cell r="D277">
            <v>31</v>
          </cell>
        </row>
        <row r="278">
          <cell r="B278" t="str">
            <v>ANT-0325</v>
          </cell>
          <cell r="C278">
            <v>2</v>
          </cell>
          <cell r="D278">
            <v>121</v>
          </cell>
        </row>
        <row r="279">
          <cell r="B279" t="str">
            <v>ANT-0326</v>
          </cell>
          <cell r="C279">
            <v>2</v>
          </cell>
          <cell r="D279">
            <v>75</v>
          </cell>
        </row>
        <row r="280">
          <cell r="B280" t="str">
            <v>ANT-0329</v>
          </cell>
          <cell r="C280">
            <v>1</v>
          </cell>
          <cell r="D280">
            <v>73</v>
          </cell>
        </row>
        <row r="281">
          <cell r="B281" t="str">
            <v>ANT-0330</v>
          </cell>
          <cell r="C281">
            <v>1</v>
          </cell>
          <cell r="D281">
            <v>104</v>
          </cell>
        </row>
        <row r="282">
          <cell r="B282" t="str">
            <v>ANT-0331</v>
          </cell>
          <cell r="C282">
            <v>1</v>
          </cell>
          <cell r="D282">
            <v>116</v>
          </cell>
        </row>
        <row r="283">
          <cell r="B283" t="str">
            <v>ANT-0332</v>
          </cell>
          <cell r="C283">
            <v>2</v>
          </cell>
          <cell r="D283">
            <v>108</v>
          </cell>
        </row>
        <row r="284">
          <cell r="B284" t="str">
            <v>ANT-0333</v>
          </cell>
          <cell r="C284">
            <v>3</v>
          </cell>
          <cell r="D284">
            <v>233</v>
          </cell>
        </row>
        <row r="285">
          <cell r="B285" t="str">
            <v>ANT-0334</v>
          </cell>
          <cell r="C285">
            <v>1</v>
          </cell>
          <cell r="D285">
            <v>83</v>
          </cell>
        </row>
        <row r="286">
          <cell r="B286" t="str">
            <v>ANT-0335</v>
          </cell>
          <cell r="C286">
            <v>1</v>
          </cell>
          <cell r="D286">
            <v>92</v>
          </cell>
        </row>
        <row r="287">
          <cell r="B287" t="str">
            <v>ANT-0336</v>
          </cell>
          <cell r="C287">
            <v>1</v>
          </cell>
          <cell r="D287">
            <v>61</v>
          </cell>
        </row>
        <row r="288">
          <cell r="B288" t="str">
            <v>ANT-0339</v>
          </cell>
          <cell r="C288">
            <v>4</v>
          </cell>
          <cell r="D288">
            <v>258</v>
          </cell>
        </row>
        <row r="289">
          <cell r="B289" t="str">
            <v>ANT-0340</v>
          </cell>
          <cell r="C289">
            <v>1</v>
          </cell>
          <cell r="D289">
            <v>68</v>
          </cell>
        </row>
        <row r="290">
          <cell r="B290" t="str">
            <v>ANT-0342</v>
          </cell>
          <cell r="C290">
            <v>2</v>
          </cell>
          <cell r="D290">
            <v>189</v>
          </cell>
        </row>
        <row r="291">
          <cell r="B291" t="str">
            <v>ANT-0345</v>
          </cell>
          <cell r="C291">
            <v>1</v>
          </cell>
          <cell r="D291">
            <v>33</v>
          </cell>
        </row>
        <row r="292">
          <cell r="B292" t="str">
            <v>ANT-0348</v>
          </cell>
          <cell r="C292">
            <v>1</v>
          </cell>
          <cell r="D292">
            <v>63</v>
          </cell>
        </row>
        <row r="293">
          <cell r="B293" t="str">
            <v>ANT-0350</v>
          </cell>
          <cell r="C293">
            <v>1</v>
          </cell>
          <cell r="D293">
            <v>15</v>
          </cell>
        </row>
        <row r="294">
          <cell r="B294" t="str">
            <v>ANT-0353</v>
          </cell>
          <cell r="C294">
            <v>2</v>
          </cell>
          <cell r="D294">
            <v>98</v>
          </cell>
        </row>
        <row r="295">
          <cell r="B295" t="str">
            <v>ANT-0355</v>
          </cell>
          <cell r="C295">
            <v>1</v>
          </cell>
          <cell r="D295">
            <v>52</v>
          </cell>
        </row>
        <row r="296">
          <cell r="B296" t="str">
            <v>ANT-0357</v>
          </cell>
          <cell r="C296">
            <v>2</v>
          </cell>
          <cell r="D296">
            <v>206</v>
          </cell>
        </row>
        <row r="297">
          <cell r="B297" t="str">
            <v>ANT-0360</v>
          </cell>
          <cell r="C297">
            <v>1</v>
          </cell>
          <cell r="D297">
            <v>56</v>
          </cell>
        </row>
        <row r="298">
          <cell r="B298" t="str">
            <v>ANT-0361</v>
          </cell>
          <cell r="C298">
            <v>1</v>
          </cell>
          <cell r="D298">
            <v>50</v>
          </cell>
        </row>
        <row r="299">
          <cell r="B299" t="str">
            <v>ANT-0362</v>
          </cell>
          <cell r="C299">
            <v>1</v>
          </cell>
          <cell r="D299">
            <v>28</v>
          </cell>
        </row>
        <row r="300">
          <cell r="B300" t="str">
            <v>ANT-0363</v>
          </cell>
          <cell r="C300">
            <v>1</v>
          </cell>
          <cell r="D300">
            <v>34</v>
          </cell>
        </row>
        <row r="301">
          <cell r="B301" t="str">
            <v>ANT-0366</v>
          </cell>
          <cell r="C301">
            <v>1</v>
          </cell>
          <cell r="D301">
            <v>70</v>
          </cell>
        </row>
        <row r="302">
          <cell r="B302" t="str">
            <v>ANT-0367</v>
          </cell>
          <cell r="C302">
            <v>1</v>
          </cell>
          <cell r="D302">
            <v>30</v>
          </cell>
        </row>
        <row r="303">
          <cell r="B303" t="str">
            <v>ANT-0368</v>
          </cell>
          <cell r="C303">
            <v>1</v>
          </cell>
          <cell r="D303">
            <v>104</v>
          </cell>
        </row>
        <row r="304">
          <cell r="B304" t="str">
            <v>ANT-0370</v>
          </cell>
          <cell r="C304">
            <v>1</v>
          </cell>
          <cell r="D304">
            <v>87</v>
          </cell>
        </row>
        <row r="305">
          <cell r="B305" t="str">
            <v>ANT-0371</v>
          </cell>
          <cell r="C305">
            <v>2</v>
          </cell>
          <cell r="D305">
            <v>181</v>
          </cell>
        </row>
        <row r="306">
          <cell r="B306" t="str">
            <v>ANT-0372</v>
          </cell>
          <cell r="C306">
            <v>1</v>
          </cell>
          <cell r="D306">
            <v>118</v>
          </cell>
        </row>
        <row r="307">
          <cell r="B307" t="str">
            <v>ANT-0373</v>
          </cell>
          <cell r="C307">
            <v>2</v>
          </cell>
          <cell r="D307">
            <v>78</v>
          </cell>
        </row>
        <row r="308">
          <cell r="B308" t="str">
            <v>ANT-0374</v>
          </cell>
          <cell r="C308">
            <v>2</v>
          </cell>
          <cell r="D308">
            <v>94</v>
          </cell>
        </row>
        <row r="309">
          <cell r="B309" t="str">
            <v>ANT-0375</v>
          </cell>
          <cell r="C309">
            <v>1</v>
          </cell>
          <cell r="D309">
            <v>41</v>
          </cell>
        </row>
        <row r="310">
          <cell r="B310" t="str">
            <v>ANT-0376</v>
          </cell>
          <cell r="C310">
            <v>1</v>
          </cell>
          <cell r="D310">
            <v>6</v>
          </cell>
        </row>
        <row r="311">
          <cell r="B311" t="str">
            <v>ANT-0377</v>
          </cell>
          <cell r="C311">
            <v>1</v>
          </cell>
          <cell r="D311">
            <v>89</v>
          </cell>
        </row>
        <row r="312">
          <cell r="B312" t="str">
            <v>ANT-0378</v>
          </cell>
          <cell r="C312">
            <v>1</v>
          </cell>
          <cell r="D312">
            <v>113</v>
          </cell>
        </row>
        <row r="313">
          <cell r="B313" t="str">
            <v>ANT-0379</v>
          </cell>
          <cell r="C313">
            <v>1</v>
          </cell>
          <cell r="D313">
            <v>39</v>
          </cell>
        </row>
        <row r="314">
          <cell r="B314" t="str">
            <v>ANT-0381</v>
          </cell>
          <cell r="C314">
            <v>1</v>
          </cell>
          <cell r="D314">
            <v>61</v>
          </cell>
        </row>
        <row r="315">
          <cell r="B315" t="str">
            <v>ANT-0382</v>
          </cell>
          <cell r="C315">
            <v>1</v>
          </cell>
          <cell r="D315">
            <v>24</v>
          </cell>
        </row>
        <row r="316">
          <cell r="B316" t="str">
            <v>ANT-0383</v>
          </cell>
          <cell r="C316">
            <v>2</v>
          </cell>
          <cell r="D316">
            <v>91</v>
          </cell>
        </row>
        <row r="317">
          <cell r="B317" t="str">
            <v>ANT-0384</v>
          </cell>
          <cell r="C317">
            <v>1</v>
          </cell>
          <cell r="D317">
            <v>104</v>
          </cell>
        </row>
        <row r="318">
          <cell r="B318" t="str">
            <v>ANT-0386</v>
          </cell>
          <cell r="C318">
            <v>1</v>
          </cell>
          <cell r="D318">
            <v>30</v>
          </cell>
        </row>
        <row r="319">
          <cell r="B319" t="str">
            <v>ANT-0387</v>
          </cell>
          <cell r="C319">
            <v>1</v>
          </cell>
          <cell r="D319">
            <v>41</v>
          </cell>
        </row>
        <row r="320">
          <cell r="B320" t="str">
            <v>ANT-0389</v>
          </cell>
          <cell r="C320">
            <v>1</v>
          </cell>
          <cell r="D320">
            <v>103</v>
          </cell>
        </row>
        <row r="321">
          <cell r="B321" t="str">
            <v>ANT-0390</v>
          </cell>
          <cell r="C321">
            <v>1</v>
          </cell>
          <cell r="D321">
            <v>26</v>
          </cell>
        </row>
        <row r="322">
          <cell r="B322" t="str">
            <v>ANT-0391</v>
          </cell>
          <cell r="C322">
            <v>1</v>
          </cell>
          <cell r="D322">
            <v>115</v>
          </cell>
        </row>
        <row r="323">
          <cell r="B323" t="str">
            <v>ANT-0392</v>
          </cell>
          <cell r="C323">
            <v>1</v>
          </cell>
          <cell r="D323">
            <v>25</v>
          </cell>
        </row>
        <row r="324">
          <cell r="B324" t="str">
            <v>ANT-0394</v>
          </cell>
          <cell r="C324">
            <v>1</v>
          </cell>
          <cell r="D324">
            <v>108</v>
          </cell>
        </row>
        <row r="325">
          <cell r="B325" t="str">
            <v>ANT-0396</v>
          </cell>
          <cell r="C325">
            <v>1</v>
          </cell>
          <cell r="D325">
            <v>80</v>
          </cell>
        </row>
        <row r="326">
          <cell r="B326" t="str">
            <v>ANT-0397</v>
          </cell>
          <cell r="C326">
            <v>2</v>
          </cell>
          <cell r="D326">
            <v>100</v>
          </cell>
        </row>
        <row r="327">
          <cell r="B327" t="str">
            <v>ANT-0402</v>
          </cell>
          <cell r="C327">
            <v>1</v>
          </cell>
          <cell r="D327">
            <v>92</v>
          </cell>
        </row>
        <row r="328">
          <cell r="B328" t="str">
            <v>ANT-0403</v>
          </cell>
          <cell r="C328">
            <v>3</v>
          </cell>
          <cell r="D328">
            <v>105</v>
          </cell>
        </row>
        <row r="329">
          <cell r="B329" t="str">
            <v>ANT-0404</v>
          </cell>
          <cell r="C329">
            <v>1</v>
          </cell>
          <cell r="D329">
            <v>6</v>
          </cell>
        </row>
        <row r="330">
          <cell r="B330" t="str">
            <v>ANT-0405</v>
          </cell>
          <cell r="C330">
            <v>1</v>
          </cell>
          <cell r="D330">
            <v>53</v>
          </cell>
        </row>
        <row r="331">
          <cell r="B331" t="str">
            <v>ANT-0406</v>
          </cell>
          <cell r="C331">
            <v>1</v>
          </cell>
          <cell r="D331">
            <v>99</v>
          </cell>
        </row>
        <row r="332">
          <cell r="B332" t="str">
            <v>ANT-0407</v>
          </cell>
          <cell r="C332">
            <v>2</v>
          </cell>
          <cell r="D332">
            <v>57</v>
          </cell>
        </row>
        <row r="333">
          <cell r="B333" t="str">
            <v>ANT-0411</v>
          </cell>
          <cell r="C333">
            <v>1</v>
          </cell>
          <cell r="D333">
            <v>14</v>
          </cell>
        </row>
        <row r="334">
          <cell r="B334" t="str">
            <v>ANT-0414</v>
          </cell>
          <cell r="C334">
            <v>2</v>
          </cell>
          <cell r="D334">
            <v>191</v>
          </cell>
        </row>
        <row r="335">
          <cell r="B335" t="str">
            <v>ANT-0415</v>
          </cell>
          <cell r="C335">
            <v>2</v>
          </cell>
          <cell r="D335">
            <v>120</v>
          </cell>
        </row>
        <row r="336">
          <cell r="B336" t="str">
            <v>ANT-0416</v>
          </cell>
          <cell r="C336">
            <v>2</v>
          </cell>
          <cell r="D336">
            <v>122</v>
          </cell>
        </row>
        <row r="337">
          <cell r="B337" t="str">
            <v>ANT-0417</v>
          </cell>
          <cell r="C337">
            <v>2</v>
          </cell>
          <cell r="D337">
            <v>151</v>
          </cell>
        </row>
        <row r="338">
          <cell r="B338" t="str">
            <v>ANT-0419</v>
          </cell>
          <cell r="C338">
            <v>1</v>
          </cell>
          <cell r="D338">
            <v>42</v>
          </cell>
        </row>
        <row r="339">
          <cell r="B339" t="str">
            <v>ANT-0422</v>
          </cell>
          <cell r="C339">
            <v>1</v>
          </cell>
          <cell r="D339">
            <v>63</v>
          </cell>
        </row>
        <row r="340">
          <cell r="B340" t="str">
            <v>ANT-0423</v>
          </cell>
          <cell r="C340">
            <v>2</v>
          </cell>
          <cell r="D340">
            <v>167</v>
          </cell>
        </row>
        <row r="341">
          <cell r="B341" t="str">
            <v>ANT-0424</v>
          </cell>
          <cell r="C341">
            <v>3</v>
          </cell>
          <cell r="D341">
            <v>126</v>
          </cell>
        </row>
        <row r="342">
          <cell r="B342" t="str">
            <v>ANT-0426</v>
          </cell>
          <cell r="C342">
            <v>1</v>
          </cell>
          <cell r="D342">
            <v>100</v>
          </cell>
        </row>
        <row r="343">
          <cell r="B343" t="str">
            <v>ANT-0427</v>
          </cell>
          <cell r="C343">
            <v>1</v>
          </cell>
          <cell r="D343">
            <v>101</v>
          </cell>
        </row>
        <row r="344">
          <cell r="B344" t="str">
            <v>ANT-0428</v>
          </cell>
          <cell r="C344">
            <v>1</v>
          </cell>
          <cell r="D344">
            <v>103</v>
          </cell>
        </row>
        <row r="345">
          <cell r="B345" t="str">
            <v>ANT-0429</v>
          </cell>
          <cell r="C345">
            <v>3</v>
          </cell>
          <cell r="D345">
            <v>204</v>
          </cell>
        </row>
        <row r="346">
          <cell r="B346" t="str">
            <v>ANT-0430</v>
          </cell>
          <cell r="C346">
            <v>2</v>
          </cell>
          <cell r="D346">
            <v>127</v>
          </cell>
        </row>
        <row r="347">
          <cell r="B347" t="str">
            <v>ANT-0431</v>
          </cell>
          <cell r="C347">
            <v>1</v>
          </cell>
          <cell r="D347">
            <v>26</v>
          </cell>
        </row>
        <row r="348">
          <cell r="B348" t="str">
            <v>ANT-0434</v>
          </cell>
          <cell r="C348">
            <v>1</v>
          </cell>
          <cell r="D348">
            <v>52</v>
          </cell>
        </row>
        <row r="349">
          <cell r="B349" t="str">
            <v>ANT-0435</v>
          </cell>
          <cell r="C349">
            <v>1</v>
          </cell>
          <cell r="D349">
            <v>103</v>
          </cell>
        </row>
        <row r="350">
          <cell r="B350" t="str">
            <v>ANT-0436</v>
          </cell>
          <cell r="C350">
            <v>2</v>
          </cell>
          <cell r="D350">
            <v>107</v>
          </cell>
        </row>
        <row r="351">
          <cell r="B351" t="str">
            <v>ANT-0437</v>
          </cell>
          <cell r="C351">
            <v>1</v>
          </cell>
          <cell r="D351">
            <v>88</v>
          </cell>
        </row>
        <row r="352">
          <cell r="B352" t="str">
            <v>ANT-0438</v>
          </cell>
          <cell r="C352">
            <v>1</v>
          </cell>
          <cell r="D352">
            <v>75</v>
          </cell>
        </row>
        <row r="353">
          <cell r="B353" t="str">
            <v>ANT-0439</v>
          </cell>
          <cell r="C353">
            <v>1</v>
          </cell>
          <cell r="D353">
            <v>90</v>
          </cell>
        </row>
        <row r="354">
          <cell r="B354" t="str">
            <v>ANT-0441</v>
          </cell>
          <cell r="C354">
            <v>3</v>
          </cell>
          <cell r="D354">
            <v>195</v>
          </cell>
        </row>
        <row r="355">
          <cell r="B355" t="str">
            <v>ANT-0446</v>
          </cell>
          <cell r="C355">
            <v>2</v>
          </cell>
          <cell r="D355">
            <v>146</v>
          </cell>
        </row>
        <row r="356">
          <cell r="B356" t="str">
            <v>ANT-0447</v>
          </cell>
          <cell r="C356">
            <v>1</v>
          </cell>
          <cell r="D356">
            <v>108</v>
          </cell>
        </row>
        <row r="357">
          <cell r="B357" t="str">
            <v>ANT-0448</v>
          </cell>
          <cell r="C357">
            <v>1</v>
          </cell>
          <cell r="D357">
            <v>69</v>
          </cell>
        </row>
        <row r="358">
          <cell r="B358" t="str">
            <v>ANT-0449</v>
          </cell>
          <cell r="C358">
            <v>3</v>
          </cell>
          <cell r="D358">
            <v>144</v>
          </cell>
        </row>
        <row r="359">
          <cell r="B359" t="str">
            <v>ANT-0450</v>
          </cell>
          <cell r="C359">
            <v>1</v>
          </cell>
          <cell r="D359">
            <v>9</v>
          </cell>
        </row>
        <row r="360">
          <cell r="B360" t="str">
            <v>ANT-0451</v>
          </cell>
          <cell r="C360">
            <v>1</v>
          </cell>
          <cell r="D360">
            <v>107</v>
          </cell>
        </row>
        <row r="361">
          <cell r="B361" t="str">
            <v>ANT-0452</v>
          </cell>
          <cell r="C361">
            <v>3</v>
          </cell>
          <cell r="D361">
            <v>195</v>
          </cell>
        </row>
        <row r="362">
          <cell r="B362" t="str">
            <v>ANT-0453</v>
          </cell>
          <cell r="C362">
            <v>2</v>
          </cell>
          <cell r="D362">
            <v>55</v>
          </cell>
        </row>
        <row r="363">
          <cell r="B363" t="str">
            <v>ANT-0454</v>
          </cell>
          <cell r="C363">
            <v>1</v>
          </cell>
          <cell r="D363">
            <v>94</v>
          </cell>
        </row>
        <row r="364">
          <cell r="B364" t="str">
            <v>ANT-0455</v>
          </cell>
          <cell r="C364">
            <v>3</v>
          </cell>
          <cell r="D364">
            <v>247</v>
          </cell>
        </row>
        <row r="365">
          <cell r="B365" t="str">
            <v>ANT-0457</v>
          </cell>
          <cell r="C365">
            <v>1</v>
          </cell>
          <cell r="D365">
            <v>101</v>
          </cell>
        </row>
        <row r="366">
          <cell r="B366" t="str">
            <v>ANT-0458</v>
          </cell>
          <cell r="C366">
            <v>1</v>
          </cell>
          <cell r="D366">
            <v>100</v>
          </cell>
        </row>
        <row r="367">
          <cell r="B367" t="str">
            <v>ANT-0459</v>
          </cell>
          <cell r="C367">
            <v>1</v>
          </cell>
          <cell r="D367">
            <v>117</v>
          </cell>
        </row>
        <row r="368">
          <cell r="B368" t="str">
            <v>ANT-0461</v>
          </cell>
          <cell r="C368">
            <v>3</v>
          </cell>
          <cell r="D368">
            <v>221</v>
          </cell>
        </row>
        <row r="369">
          <cell r="B369" t="str">
            <v>ANT-0465</v>
          </cell>
          <cell r="C369">
            <v>2</v>
          </cell>
          <cell r="D369">
            <v>136</v>
          </cell>
        </row>
        <row r="370">
          <cell r="B370" t="str">
            <v>ANT-0466</v>
          </cell>
          <cell r="C370">
            <v>1</v>
          </cell>
          <cell r="D370">
            <v>114</v>
          </cell>
        </row>
        <row r="371">
          <cell r="B371" t="str">
            <v>ANT-0468</v>
          </cell>
          <cell r="C371">
            <v>1</v>
          </cell>
          <cell r="D371">
            <v>109</v>
          </cell>
        </row>
        <row r="372">
          <cell r="B372" t="str">
            <v>ANT-0469</v>
          </cell>
          <cell r="C372">
            <v>2</v>
          </cell>
          <cell r="D372">
            <v>163</v>
          </cell>
        </row>
        <row r="373">
          <cell r="B373" t="str">
            <v>ANT-0470</v>
          </cell>
          <cell r="C373">
            <v>1</v>
          </cell>
          <cell r="D373">
            <v>5</v>
          </cell>
        </row>
        <row r="374">
          <cell r="B374" t="str">
            <v>ANT-0471</v>
          </cell>
          <cell r="C374">
            <v>1</v>
          </cell>
          <cell r="D374">
            <v>52</v>
          </cell>
        </row>
        <row r="375">
          <cell r="B375" t="str">
            <v>ANT-0472</v>
          </cell>
          <cell r="C375">
            <v>2</v>
          </cell>
          <cell r="D375">
            <v>85</v>
          </cell>
        </row>
        <row r="376">
          <cell r="B376" t="str">
            <v>ANT-0473</v>
          </cell>
          <cell r="C376">
            <v>3</v>
          </cell>
          <cell r="D376">
            <v>209</v>
          </cell>
        </row>
        <row r="377">
          <cell r="B377" t="str">
            <v>ANT-0474</v>
          </cell>
          <cell r="C377">
            <v>1</v>
          </cell>
          <cell r="D377">
            <v>61</v>
          </cell>
        </row>
        <row r="378">
          <cell r="B378" t="str">
            <v>ANT-0475</v>
          </cell>
          <cell r="C378">
            <v>1</v>
          </cell>
          <cell r="D378">
            <v>9</v>
          </cell>
        </row>
        <row r="379">
          <cell r="B379" t="str">
            <v>ANT-0478</v>
          </cell>
          <cell r="C379">
            <v>1</v>
          </cell>
          <cell r="D379">
            <v>100</v>
          </cell>
        </row>
        <row r="380">
          <cell r="B380" t="str">
            <v>ANT-0479</v>
          </cell>
          <cell r="C380">
            <v>1</v>
          </cell>
          <cell r="D380">
            <v>96</v>
          </cell>
        </row>
        <row r="381">
          <cell r="B381" t="str">
            <v>ANT-0481</v>
          </cell>
          <cell r="C381">
            <v>1</v>
          </cell>
          <cell r="D381">
            <v>99</v>
          </cell>
        </row>
        <row r="382">
          <cell r="B382" t="str">
            <v>ANT-0484</v>
          </cell>
          <cell r="C382">
            <v>1</v>
          </cell>
          <cell r="D382">
            <v>53</v>
          </cell>
        </row>
        <row r="383">
          <cell r="B383" t="str">
            <v>ANT-0485</v>
          </cell>
          <cell r="C383">
            <v>2</v>
          </cell>
          <cell r="D383">
            <v>146</v>
          </cell>
        </row>
        <row r="384">
          <cell r="B384" t="str">
            <v>ANT-0486</v>
          </cell>
          <cell r="C384">
            <v>1</v>
          </cell>
          <cell r="D384">
            <v>34</v>
          </cell>
        </row>
        <row r="385">
          <cell r="B385" t="str">
            <v>ANT-0487</v>
          </cell>
          <cell r="C385">
            <v>2</v>
          </cell>
          <cell r="D385">
            <v>120</v>
          </cell>
        </row>
        <row r="386">
          <cell r="B386" t="str">
            <v>ANT-0488</v>
          </cell>
          <cell r="C386">
            <v>3</v>
          </cell>
          <cell r="D386">
            <v>152</v>
          </cell>
        </row>
        <row r="387">
          <cell r="B387" t="str">
            <v>ANT-0489</v>
          </cell>
          <cell r="C387">
            <v>1</v>
          </cell>
          <cell r="D387">
            <v>37</v>
          </cell>
        </row>
        <row r="388">
          <cell r="B388" t="str">
            <v>ANT-0490</v>
          </cell>
          <cell r="C388">
            <v>1</v>
          </cell>
          <cell r="D388">
            <v>27</v>
          </cell>
        </row>
        <row r="389">
          <cell r="B389" t="str">
            <v>ANT-0493</v>
          </cell>
          <cell r="C389">
            <v>1</v>
          </cell>
          <cell r="D389">
            <v>97</v>
          </cell>
        </row>
        <row r="390">
          <cell r="B390" t="str">
            <v>ANT-0494</v>
          </cell>
          <cell r="C390">
            <v>2</v>
          </cell>
          <cell r="D390">
            <v>144</v>
          </cell>
        </row>
        <row r="391">
          <cell r="B391" t="str">
            <v>ANT-0497</v>
          </cell>
          <cell r="C391">
            <v>2</v>
          </cell>
          <cell r="D391">
            <v>154</v>
          </cell>
        </row>
        <row r="392">
          <cell r="B392" t="str">
            <v>ANT-0499</v>
          </cell>
          <cell r="C392">
            <v>1</v>
          </cell>
          <cell r="D392">
            <v>120</v>
          </cell>
        </row>
        <row r="393">
          <cell r="B393" t="str">
            <v>ANT-0501</v>
          </cell>
          <cell r="C393">
            <v>3</v>
          </cell>
          <cell r="D393">
            <v>259</v>
          </cell>
        </row>
        <row r="394">
          <cell r="B394" t="str">
            <v>ANT-0503</v>
          </cell>
          <cell r="C394">
            <v>4</v>
          </cell>
          <cell r="D394">
            <v>211</v>
          </cell>
        </row>
        <row r="395">
          <cell r="B395" t="str">
            <v>ANT-0504</v>
          </cell>
          <cell r="C395">
            <v>1</v>
          </cell>
          <cell r="D395">
            <v>43</v>
          </cell>
        </row>
        <row r="396">
          <cell r="B396" t="str">
            <v>ANT-0505</v>
          </cell>
          <cell r="C396">
            <v>1</v>
          </cell>
          <cell r="D396">
            <v>106</v>
          </cell>
        </row>
        <row r="397">
          <cell r="B397" t="str">
            <v>ANT-0507</v>
          </cell>
          <cell r="C397">
            <v>1</v>
          </cell>
          <cell r="D397">
            <v>20</v>
          </cell>
        </row>
        <row r="398">
          <cell r="B398" t="str">
            <v>ANT-0508</v>
          </cell>
          <cell r="C398">
            <v>1</v>
          </cell>
          <cell r="D398">
            <v>41</v>
          </cell>
        </row>
        <row r="399">
          <cell r="B399" t="str">
            <v>ANT-0510</v>
          </cell>
          <cell r="C399">
            <v>1</v>
          </cell>
          <cell r="D399">
            <v>49</v>
          </cell>
        </row>
        <row r="400">
          <cell r="B400" t="str">
            <v>ANT-0511</v>
          </cell>
          <cell r="C400">
            <v>3</v>
          </cell>
          <cell r="D400">
            <v>106</v>
          </cell>
        </row>
        <row r="401">
          <cell r="B401" t="str">
            <v>ANT-0512</v>
          </cell>
          <cell r="C401">
            <v>2</v>
          </cell>
          <cell r="D401">
            <v>142</v>
          </cell>
        </row>
        <row r="402">
          <cell r="B402" t="str">
            <v>ANT-0513</v>
          </cell>
          <cell r="C402">
            <v>1</v>
          </cell>
          <cell r="D402">
            <v>51</v>
          </cell>
        </row>
        <row r="403">
          <cell r="B403" t="str">
            <v>ANT-0514</v>
          </cell>
          <cell r="C403">
            <v>1</v>
          </cell>
          <cell r="D403">
            <v>107</v>
          </cell>
        </row>
        <row r="404">
          <cell r="B404" t="str">
            <v>ANT-0515</v>
          </cell>
          <cell r="C404">
            <v>3</v>
          </cell>
          <cell r="D404">
            <v>133</v>
          </cell>
        </row>
        <row r="405">
          <cell r="B405" t="str">
            <v>ANT-0517</v>
          </cell>
          <cell r="C405">
            <v>1</v>
          </cell>
          <cell r="D405">
            <v>23</v>
          </cell>
        </row>
        <row r="406">
          <cell r="B406" t="str">
            <v>ANT-0518</v>
          </cell>
          <cell r="C406">
            <v>4</v>
          </cell>
          <cell r="D406">
            <v>275</v>
          </cell>
        </row>
        <row r="407">
          <cell r="B407" t="str">
            <v>ANT-0520</v>
          </cell>
          <cell r="C407">
            <v>2</v>
          </cell>
          <cell r="D407">
            <v>155</v>
          </cell>
        </row>
        <row r="408">
          <cell r="B408" t="str">
            <v>ANT-0521</v>
          </cell>
          <cell r="C408">
            <v>1</v>
          </cell>
          <cell r="D408">
            <v>33</v>
          </cell>
        </row>
        <row r="409">
          <cell r="B409" t="str">
            <v>ANT-0522</v>
          </cell>
          <cell r="C409">
            <v>1</v>
          </cell>
          <cell r="D409">
            <v>24</v>
          </cell>
        </row>
        <row r="410">
          <cell r="B410" t="str">
            <v>ANT-0523</v>
          </cell>
          <cell r="C410">
            <v>1</v>
          </cell>
          <cell r="D410">
            <v>78</v>
          </cell>
        </row>
        <row r="411">
          <cell r="B411" t="str">
            <v>ANT-0524</v>
          </cell>
          <cell r="C411">
            <v>3</v>
          </cell>
          <cell r="D411">
            <v>127</v>
          </cell>
        </row>
        <row r="412">
          <cell r="B412" t="str">
            <v>ANT-0526</v>
          </cell>
          <cell r="C412">
            <v>1</v>
          </cell>
          <cell r="D412">
            <v>60</v>
          </cell>
        </row>
        <row r="413">
          <cell r="B413" t="str">
            <v>ANT-0527</v>
          </cell>
          <cell r="C413">
            <v>2</v>
          </cell>
          <cell r="D413">
            <v>209</v>
          </cell>
        </row>
        <row r="414">
          <cell r="B414" t="str">
            <v>ANT-0528</v>
          </cell>
          <cell r="C414">
            <v>1</v>
          </cell>
          <cell r="D414">
            <v>115</v>
          </cell>
        </row>
        <row r="415">
          <cell r="B415" t="str">
            <v>ANT-0529</v>
          </cell>
          <cell r="C415">
            <v>1</v>
          </cell>
          <cell r="D415">
            <v>62</v>
          </cell>
        </row>
        <row r="416">
          <cell r="B416" t="str">
            <v>ANT-0530</v>
          </cell>
          <cell r="C416">
            <v>3</v>
          </cell>
          <cell r="D416">
            <v>183</v>
          </cell>
        </row>
        <row r="417">
          <cell r="B417" t="str">
            <v>ANT-0531</v>
          </cell>
          <cell r="C417">
            <v>2</v>
          </cell>
          <cell r="D417">
            <v>145</v>
          </cell>
        </row>
        <row r="418">
          <cell r="B418" t="str">
            <v>ANT-0533</v>
          </cell>
          <cell r="C418">
            <v>2</v>
          </cell>
          <cell r="D418">
            <v>162</v>
          </cell>
        </row>
        <row r="419">
          <cell r="B419" t="str">
            <v>ANT-0534</v>
          </cell>
          <cell r="C419">
            <v>2</v>
          </cell>
          <cell r="D419">
            <v>64</v>
          </cell>
        </row>
        <row r="420">
          <cell r="B420" t="str">
            <v>ANT-0536</v>
          </cell>
          <cell r="C420">
            <v>1</v>
          </cell>
          <cell r="D420">
            <v>105</v>
          </cell>
        </row>
        <row r="421">
          <cell r="B421" t="str">
            <v>ANT-0537</v>
          </cell>
          <cell r="C421">
            <v>2</v>
          </cell>
          <cell r="D421">
            <v>145</v>
          </cell>
        </row>
        <row r="422">
          <cell r="B422" t="str">
            <v>ANT-0539</v>
          </cell>
          <cell r="C422">
            <v>1</v>
          </cell>
          <cell r="D422">
            <v>62</v>
          </cell>
        </row>
        <row r="423">
          <cell r="B423" t="str">
            <v>ANT-0540</v>
          </cell>
          <cell r="C423">
            <v>2</v>
          </cell>
          <cell r="D423">
            <v>49</v>
          </cell>
        </row>
        <row r="424">
          <cell r="B424" t="str">
            <v>ANT-0541</v>
          </cell>
          <cell r="C424">
            <v>2</v>
          </cell>
          <cell r="D424">
            <v>133</v>
          </cell>
        </row>
        <row r="425">
          <cell r="B425" t="str">
            <v>ANT-0542</v>
          </cell>
          <cell r="C425">
            <v>1</v>
          </cell>
          <cell r="D425">
            <v>59</v>
          </cell>
        </row>
        <row r="426">
          <cell r="B426" t="str">
            <v>ANT-0543</v>
          </cell>
          <cell r="C426">
            <v>2</v>
          </cell>
          <cell r="D426">
            <v>148</v>
          </cell>
        </row>
        <row r="427">
          <cell r="B427" t="str">
            <v>ANT-0544</v>
          </cell>
          <cell r="C427">
            <v>5</v>
          </cell>
          <cell r="D427">
            <v>390</v>
          </cell>
        </row>
        <row r="428">
          <cell r="B428" t="str">
            <v>ANT-0545</v>
          </cell>
          <cell r="C428">
            <v>2</v>
          </cell>
          <cell r="D428">
            <v>121</v>
          </cell>
        </row>
        <row r="429">
          <cell r="B429" t="str">
            <v>ANT-0548</v>
          </cell>
          <cell r="C429">
            <v>1</v>
          </cell>
          <cell r="D429">
            <v>35</v>
          </cell>
        </row>
        <row r="430">
          <cell r="B430" t="str">
            <v>ANT-0549</v>
          </cell>
          <cell r="C430">
            <v>2</v>
          </cell>
          <cell r="D430">
            <v>89</v>
          </cell>
        </row>
        <row r="431">
          <cell r="B431" t="str">
            <v>ANT-0551</v>
          </cell>
          <cell r="C431">
            <v>2</v>
          </cell>
          <cell r="D431">
            <v>81</v>
          </cell>
        </row>
        <row r="432">
          <cell r="B432" t="str">
            <v>ANT-0553</v>
          </cell>
          <cell r="C432">
            <v>2</v>
          </cell>
          <cell r="D432">
            <v>165</v>
          </cell>
        </row>
        <row r="433">
          <cell r="B433" t="str">
            <v>ANT-0555</v>
          </cell>
          <cell r="C433">
            <v>1</v>
          </cell>
          <cell r="D433">
            <v>17</v>
          </cell>
        </row>
        <row r="434">
          <cell r="B434" t="str">
            <v>ANT-0556</v>
          </cell>
          <cell r="C434">
            <v>3</v>
          </cell>
          <cell r="D434">
            <v>254</v>
          </cell>
        </row>
        <row r="435">
          <cell r="B435" t="str">
            <v>ANT-0557</v>
          </cell>
          <cell r="C435">
            <v>1</v>
          </cell>
          <cell r="D435">
            <v>115</v>
          </cell>
        </row>
        <row r="436">
          <cell r="B436" t="str">
            <v>ANT-0558</v>
          </cell>
          <cell r="C436">
            <v>1</v>
          </cell>
          <cell r="D436">
            <v>28</v>
          </cell>
        </row>
        <row r="437">
          <cell r="B437" t="str">
            <v>ANT-0559</v>
          </cell>
          <cell r="C437">
            <v>2</v>
          </cell>
          <cell r="D437">
            <v>207</v>
          </cell>
        </row>
        <row r="438">
          <cell r="B438" t="str">
            <v>ANT-0560</v>
          </cell>
          <cell r="C438">
            <v>1</v>
          </cell>
          <cell r="D438">
            <v>88</v>
          </cell>
        </row>
        <row r="439">
          <cell r="B439" t="str">
            <v>ANT-0561</v>
          </cell>
          <cell r="C439">
            <v>1</v>
          </cell>
          <cell r="D439">
            <v>56</v>
          </cell>
        </row>
        <row r="440">
          <cell r="B440" t="str">
            <v>ANT-0562</v>
          </cell>
          <cell r="C440">
            <v>2</v>
          </cell>
          <cell r="D440">
            <v>129</v>
          </cell>
        </row>
        <row r="441">
          <cell r="B441" t="str">
            <v>ANT-0563</v>
          </cell>
          <cell r="C441">
            <v>5</v>
          </cell>
          <cell r="D441">
            <v>226</v>
          </cell>
        </row>
        <row r="442">
          <cell r="B442" t="str">
            <v>ANT-0564</v>
          </cell>
          <cell r="C442">
            <v>4</v>
          </cell>
          <cell r="D442">
            <v>190</v>
          </cell>
        </row>
        <row r="443">
          <cell r="B443" t="str">
            <v>ANT-0565</v>
          </cell>
          <cell r="C443">
            <v>2</v>
          </cell>
          <cell r="D443">
            <v>157</v>
          </cell>
        </row>
        <row r="444">
          <cell r="B444" t="str">
            <v>ANT-0566</v>
          </cell>
          <cell r="C444">
            <v>1</v>
          </cell>
          <cell r="D444">
            <v>82</v>
          </cell>
        </row>
        <row r="445">
          <cell r="B445" t="str">
            <v>ANT-0567</v>
          </cell>
          <cell r="C445">
            <v>2</v>
          </cell>
          <cell r="D445">
            <v>43</v>
          </cell>
        </row>
        <row r="446">
          <cell r="B446" t="str">
            <v>ANT-0568</v>
          </cell>
          <cell r="C446">
            <v>1</v>
          </cell>
          <cell r="D446">
            <v>83</v>
          </cell>
        </row>
        <row r="447">
          <cell r="B447" t="str">
            <v>ANT-0569</v>
          </cell>
          <cell r="C447">
            <v>1</v>
          </cell>
          <cell r="D447">
            <v>80</v>
          </cell>
        </row>
        <row r="448">
          <cell r="B448" t="str">
            <v>ANT-0570</v>
          </cell>
          <cell r="C448">
            <v>2</v>
          </cell>
          <cell r="D448">
            <v>92</v>
          </cell>
        </row>
        <row r="449">
          <cell r="B449" t="str">
            <v>ANT-0571</v>
          </cell>
          <cell r="C449">
            <v>1</v>
          </cell>
          <cell r="D449">
            <v>68</v>
          </cell>
        </row>
        <row r="450">
          <cell r="B450" t="str">
            <v>ANT-0573</v>
          </cell>
          <cell r="C450">
            <v>1</v>
          </cell>
          <cell r="D450">
            <v>58</v>
          </cell>
        </row>
        <row r="451">
          <cell r="B451" t="str">
            <v>ANT-0574</v>
          </cell>
          <cell r="C451">
            <v>1</v>
          </cell>
          <cell r="D451">
            <v>62</v>
          </cell>
        </row>
        <row r="452">
          <cell r="B452" t="str">
            <v>ANT-0575</v>
          </cell>
          <cell r="C452">
            <v>2</v>
          </cell>
          <cell r="D452">
            <v>146</v>
          </cell>
        </row>
        <row r="453">
          <cell r="B453" t="str">
            <v>ANT-0576</v>
          </cell>
          <cell r="C453">
            <v>1</v>
          </cell>
          <cell r="D453">
            <v>75</v>
          </cell>
        </row>
        <row r="454">
          <cell r="B454" t="str">
            <v>ANT-0577</v>
          </cell>
          <cell r="C454">
            <v>1</v>
          </cell>
          <cell r="D454">
            <v>17</v>
          </cell>
        </row>
        <row r="455">
          <cell r="B455" t="str">
            <v>ANT-0578</v>
          </cell>
          <cell r="C455">
            <v>3</v>
          </cell>
          <cell r="D455">
            <v>197</v>
          </cell>
        </row>
        <row r="456">
          <cell r="B456" t="str">
            <v>ANT-0579</v>
          </cell>
          <cell r="C456">
            <v>1</v>
          </cell>
          <cell r="D456">
            <v>12</v>
          </cell>
        </row>
        <row r="457">
          <cell r="B457" t="str">
            <v>ANT-0580</v>
          </cell>
          <cell r="C457">
            <v>1</v>
          </cell>
          <cell r="D457">
            <v>27</v>
          </cell>
        </row>
        <row r="458">
          <cell r="B458" t="str">
            <v>ANT-0581</v>
          </cell>
          <cell r="C458">
            <v>2</v>
          </cell>
          <cell r="D458">
            <v>83</v>
          </cell>
        </row>
        <row r="459">
          <cell r="B459" t="str">
            <v>ANT-0582</v>
          </cell>
          <cell r="C459">
            <v>2</v>
          </cell>
          <cell r="D459">
            <v>181</v>
          </cell>
        </row>
        <row r="460">
          <cell r="B460" t="str">
            <v>ANT-0585</v>
          </cell>
          <cell r="C460">
            <v>2</v>
          </cell>
          <cell r="D460">
            <v>164</v>
          </cell>
        </row>
        <row r="461">
          <cell r="B461" t="str">
            <v>ANT-0586</v>
          </cell>
          <cell r="C461">
            <v>1</v>
          </cell>
          <cell r="D461">
            <v>112</v>
          </cell>
        </row>
        <row r="462">
          <cell r="B462" t="str">
            <v>ANT-0587</v>
          </cell>
          <cell r="C462">
            <v>3</v>
          </cell>
          <cell r="D462">
            <v>298</v>
          </cell>
        </row>
        <row r="463">
          <cell r="B463" t="str">
            <v>ANT-0588</v>
          </cell>
          <cell r="C463">
            <v>1</v>
          </cell>
          <cell r="D463">
            <v>99</v>
          </cell>
        </row>
        <row r="464">
          <cell r="B464" t="str">
            <v>ANT-0592</v>
          </cell>
          <cell r="C464">
            <v>1</v>
          </cell>
          <cell r="D464">
            <v>66</v>
          </cell>
        </row>
        <row r="465">
          <cell r="B465" t="str">
            <v>ANT-0594</v>
          </cell>
          <cell r="C465">
            <v>1</v>
          </cell>
          <cell r="D465">
            <v>111</v>
          </cell>
        </row>
        <row r="466">
          <cell r="B466" t="str">
            <v>ANT-0595</v>
          </cell>
          <cell r="C466">
            <v>2</v>
          </cell>
          <cell r="D466">
            <v>131</v>
          </cell>
        </row>
        <row r="467">
          <cell r="B467" t="str">
            <v>ANT-0596</v>
          </cell>
          <cell r="C467">
            <v>1</v>
          </cell>
          <cell r="D467">
            <v>68</v>
          </cell>
        </row>
        <row r="468">
          <cell r="B468" t="str">
            <v>ANT-0597</v>
          </cell>
          <cell r="C468">
            <v>1</v>
          </cell>
          <cell r="D468">
            <v>41</v>
          </cell>
        </row>
        <row r="469">
          <cell r="B469" t="str">
            <v>ANT-0598</v>
          </cell>
          <cell r="C469">
            <v>1</v>
          </cell>
          <cell r="D469">
            <v>64</v>
          </cell>
        </row>
        <row r="470">
          <cell r="B470" t="str">
            <v>ANT-0599</v>
          </cell>
          <cell r="C470">
            <v>2</v>
          </cell>
          <cell r="D470">
            <v>183</v>
          </cell>
        </row>
        <row r="471">
          <cell r="B471" t="str">
            <v>ANT-0600</v>
          </cell>
          <cell r="C471">
            <v>1</v>
          </cell>
          <cell r="D471">
            <v>83</v>
          </cell>
        </row>
        <row r="472">
          <cell r="B472" t="str">
            <v>ANT-0604</v>
          </cell>
          <cell r="C472">
            <v>2</v>
          </cell>
          <cell r="D472">
            <v>136</v>
          </cell>
        </row>
        <row r="473">
          <cell r="B473" t="str">
            <v>ANT-0606</v>
          </cell>
          <cell r="C473">
            <v>1</v>
          </cell>
          <cell r="D473">
            <v>12</v>
          </cell>
        </row>
        <row r="474">
          <cell r="B474" t="str">
            <v>ANT-0607</v>
          </cell>
          <cell r="C474">
            <v>3</v>
          </cell>
          <cell r="D474">
            <v>139</v>
          </cell>
        </row>
        <row r="475">
          <cell r="B475" t="str">
            <v>ANT-0609</v>
          </cell>
          <cell r="C475">
            <v>2</v>
          </cell>
          <cell r="D475">
            <v>51</v>
          </cell>
        </row>
        <row r="476">
          <cell r="B476" t="str">
            <v>ANT-0610</v>
          </cell>
          <cell r="C476">
            <v>1</v>
          </cell>
          <cell r="D476">
            <v>118</v>
          </cell>
        </row>
        <row r="477">
          <cell r="B477" t="str">
            <v>ANT-0611</v>
          </cell>
          <cell r="C477">
            <v>1</v>
          </cell>
          <cell r="D477">
            <v>27</v>
          </cell>
        </row>
        <row r="478">
          <cell r="B478" t="str">
            <v>ANT-0612</v>
          </cell>
          <cell r="C478">
            <v>2</v>
          </cell>
          <cell r="D478">
            <v>150</v>
          </cell>
        </row>
        <row r="479">
          <cell r="B479" t="str">
            <v>ANT-0614</v>
          </cell>
          <cell r="C479">
            <v>1</v>
          </cell>
          <cell r="D479">
            <v>115</v>
          </cell>
        </row>
        <row r="480">
          <cell r="B480" t="str">
            <v>ANT-0615</v>
          </cell>
          <cell r="C480">
            <v>1</v>
          </cell>
          <cell r="D480">
            <v>68</v>
          </cell>
        </row>
        <row r="481">
          <cell r="B481" t="str">
            <v>ANT-0617</v>
          </cell>
          <cell r="C481">
            <v>1</v>
          </cell>
          <cell r="D481">
            <v>50</v>
          </cell>
        </row>
        <row r="482">
          <cell r="B482" t="str">
            <v>ANT-0619</v>
          </cell>
          <cell r="C482">
            <v>1</v>
          </cell>
          <cell r="D482">
            <v>46</v>
          </cell>
        </row>
        <row r="483">
          <cell r="B483" t="str">
            <v>ANT-0620</v>
          </cell>
          <cell r="C483">
            <v>2</v>
          </cell>
          <cell r="D483">
            <v>105</v>
          </cell>
        </row>
        <row r="484">
          <cell r="B484" t="str">
            <v>ANT-0621</v>
          </cell>
          <cell r="C484">
            <v>1</v>
          </cell>
          <cell r="D484">
            <v>53</v>
          </cell>
        </row>
        <row r="485">
          <cell r="B485" t="str">
            <v>ANT-0622</v>
          </cell>
          <cell r="C485">
            <v>1</v>
          </cell>
          <cell r="D485">
            <v>100</v>
          </cell>
        </row>
        <row r="486">
          <cell r="B486" t="str">
            <v>ANT-0623</v>
          </cell>
          <cell r="C486">
            <v>3</v>
          </cell>
          <cell r="D486">
            <v>120</v>
          </cell>
        </row>
        <row r="487">
          <cell r="B487" t="str">
            <v>ANT-0624</v>
          </cell>
          <cell r="C487">
            <v>3</v>
          </cell>
          <cell r="D487">
            <v>165</v>
          </cell>
        </row>
        <row r="488">
          <cell r="B488" t="str">
            <v>ANT-0628</v>
          </cell>
          <cell r="C488">
            <v>1</v>
          </cell>
          <cell r="D488">
            <v>54</v>
          </cell>
        </row>
        <row r="489">
          <cell r="B489" t="str">
            <v>ANT-0630</v>
          </cell>
          <cell r="C489">
            <v>1</v>
          </cell>
          <cell r="D489">
            <v>68</v>
          </cell>
        </row>
        <row r="490">
          <cell r="B490" t="str">
            <v>ANT-0631</v>
          </cell>
          <cell r="C490">
            <v>2</v>
          </cell>
          <cell r="D490">
            <v>187</v>
          </cell>
        </row>
        <row r="491">
          <cell r="B491" t="str">
            <v>ANT-0633</v>
          </cell>
          <cell r="C491">
            <v>2</v>
          </cell>
          <cell r="D491">
            <v>71</v>
          </cell>
        </row>
        <row r="492">
          <cell r="B492" t="str">
            <v>ANT-0634</v>
          </cell>
          <cell r="C492">
            <v>1</v>
          </cell>
          <cell r="D492">
            <v>47</v>
          </cell>
        </row>
        <row r="493">
          <cell r="B493" t="str">
            <v>ANT-0635</v>
          </cell>
          <cell r="C493">
            <v>3</v>
          </cell>
          <cell r="D493">
            <v>114</v>
          </cell>
        </row>
        <row r="494">
          <cell r="B494" t="str">
            <v>ANT-0638</v>
          </cell>
          <cell r="C494">
            <v>2</v>
          </cell>
          <cell r="D494">
            <v>118</v>
          </cell>
        </row>
        <row r="495">
          <cell r="B495" t="str">
            <v>ANT-0639</v>
          </cell>
          <cell r="C495">
            <v>1</v>
          </cell>
          <cell r="D495">
            <v>87</v>
          </cell>
        </row>
        <row r="496">
          <cell r="B496" t="str">
            <v>ANT-0640</v>
          </cell>
          <cell r="C496">
            <v>1</v>
          </cell>
          <cell r="D496">
            <v>69</v>
          </cell>
        </row>
        <row r="497">
          <cell r="B497" t="str">
            <v>ANT-0641</v>
          </cell>
          <cell r="C497">
            <v>3</v>
          </cell>
          <cell r="D497">
            <v>171</v>
          </cell>
        </row>
        <row r="498">
          <cell r="B498" t="str">
            <v>ANT-0642</v>
          </cell>
          <cell r="C498">
            <v>1</v>
          </cell>
          <cell r="D498">
            <v>20</v>
          </cell>
        </row>
        <row r="499">
          <cell r="B499" t="str">
            <v>ANT-0643</v>
          </cell>
          <cell r="C499">
            <v>1</v>
          </cell>
          <cell r="D499">
            <v>78</v>
          </cell>
        </row>
        <row r="500">
          <cell r="B500" t="str">
            <v>ANT-0644</v>
          </cell>
          <cell r="C500">
            <v>1</v>
          </cell>
          <cell r="D500">
            <v>18</v>
          </cell>
        </row>
        <row r="501">
          <cell r="B501" t="str">
            <v>ANT-0646</v>
          </cell>
          <cell r="C501">
            <v>2</v>
          </cell>
          <cell r="D501">
            <v>109</v>
          </cell>
        </row>
        <row r="502">
          <cell r="B502" t="str">
            <v>ANT-0649</v>
          </cell>
          <cell r="C502">
            <v>3</v>
          </cell>
          <cell r="D502">
            <v>156</v>
          </cell>
        </row>
        <row r="503">
          <cell r="B503" t="str">
            <v>ANT-0650</v>
          </cell>
          <cell r="C503">
            <v>2</v>
          </cell>
          <cell r="D503">
            <v>53</v>
          </cell>
        </row>
        <row r="504">
          <cell r="B504" t="str">
            <v>ANT-0653</v>
          </cell>
          <cell r="C504">
            <v>5</v>
          </cell>
          <cell r="D504">
            <v>385</v>
          </cell>
        </row>
        <row r="505">
          <cell r="B505" t="str">
            <v>ANT-0654</v>
          </cell>
          <cell r="C505">
            <v>2</v>
          </cell>
          <cell r="D505">
            <v>156</v>
          </cell>
        </row>
        <row r="506">
          <cell r="B506" t="str">
            <v>ANT-0655</v>
          </cell>
          <cell r="C506">
            <v>2</v>
          </cell>
          <cell r="D506">
            <v>76</v>
          </cell>
        </row>
        <row r="507">
          <cell r="B507" t="str">
            <v>ANT-0656</v>
          </cell>
          <cell r="C507">
            <v>2</v>
          </cell>
          <cell r="D507">
            <v>114</v>
          </cell>
        </row>
        <row r="508">
          <cell r="B508" t="str">
            <v>ANT-0657</v>
          </cell>
          <cell r="C508">
            <v>1</v>
          </cell>
          <cell r="D508">
            <v>91</v>
          </cell>
        </row>
        <row r="509">
          <cell r="B509" t="str">
            <v>ANT-0661</v>
          </cell>
          <cell r="C509">
            <v>2</v>
          </cell>
          <cell r="D509">
            <v>168</v>
          </cell>
        </row>
        <row r="510">
          <cell r="B510" t="str">
            <v>ANT-0662</v>
          </cell>
          <cell r="C510">
            <v>4</v>
          </cell>
          <cell r="D510">
            <v>352</v>
          </cell>
        </row>
        <row r="511">
          <cell r="B511" t="str">
            <v>ANT-0663</v>
          </cell>
          <cell r="C511">
            <v>1</v>
          </cell>
          <cell r="D511">
            <v>92</v>
          </cell>
        </row>
        <row r="512">
          <cell r="B512" t="str">
            <v>ANT-0667</v>
          </cell>
          <cell r="C512">
            <v>1</v>
          </cell>
          <cell r="D512">
            <v>100</v>
          </cell>
        </row>
        <row r="513">
          <cell r="B513" t="str">
            <v>ANT-0668</v>
          </cell>
          <cell r="C513">
            <v>2</v>
          </cell>
          <cell r="D513">
            <v>136</v>
          </cell>
        </row>
        <row r="514">
          <cell r="B514" t="str">
            <v>ANT-0669</v>
          </cell>
          <cell r="C514">
            <v>1</v>
          </cell>
          <cell r="D514">
            <v>96</v>
          </cell>
        </row>
        <row r="515">
          <cell r="B515" t="str">
            <v>ANT-0670</v>
          </cell>
          <cell r="C515">
            <v>3</v>
          </cell>
          <cell r="D515">
            <v>291</v>
          </cell>
        </row>
        <row r="516">
          <cell r="B516" t="str">
            <v>ANT-0671</v>
          </cell>
          <cell r="C516">
            <v>1</v>
          </cell>
          <cell r="D516">
            <v>53</v>
          </cell>
        </row>
        <row r="517">
          <cell r="B517" t="str">
            <v>ANT-0672</v>
          </cell>
          <cell r="C517">
            <v>2</v>
          </cell>
          <cell r="D517">
            <v>115</v>
          </cell>
        </row>
        <row r="518">
          <cell r="B518" t="str">
            <v>ANT-0674</v>
          </cell>
          <cell r="C518">
            <v>1</v>
          </cell>
          <cell r="D518">
            <v>65</v>
          </cell>
        </row>
        <row r="519">
          <cell r="B519" t="str">
            <v>ANT-0675</v>
          </cell>
          <cell r="C519">
            <v>1</v>
          </cell>
          <cell r="D519">
            <v>61</v>
          </cell>
        </row>
        <row r="520">
          <cell r="B520" t="str">
            <v>ANT-0677</v>
          </cell>
          <cell r="C520">
            <v>1</v>
          </cell>
          <cell r="D520">
            <v>74</v>
          </cell>
        </row>
        <row r="521">
          <cell r="B521" t="str">
            <v>ANT-0678</v>
          </cell>
          <cell r="C521">
            <v>2</v>
          </cell>
          <cell r="D521">
            <v>72</v>
          </cell>
        </row>
        <row r="522">
          <cell r="B522" t="str">
            <v>ANT-0679</v>
          </cell>
          <cell r="C522">
            <v>3</v>
          </cell>
          <cell r="D522">
            <v>266</v>
          </cell>
        </row>
        <row r="523">
          <cell r="B523" t="str">
            <v>ANT-0680</v>
          </cell>
          <cell r="C523">
            <v>1</v>
          </cell>
          <cell r="D523">
            <v>8</v>
          </cell>
        </row>
        <row r="524">
          <cell r="B524" t="str">
            <v>ANT-0684</v>
          </cell>
          <cell r="C524">
            <v>1</v>
          </cell>
          <cell r="D524">
            <v>110</v>
          </cell>
        </row>
        <row r="525">
          <cell r="B525" t="str">
            <v>ANT-0685</v>
          </cell>
          <cell r="C525">
            <v>1</v>
          </cell>
          <cell r="D525">
            <v>81</v>
          </cell>
        </row>
        <row r="526">
          <cell r="B526" t="str">
            <v>ANT-0686</v>
          </cell>
          <cell r="C526">
            <v>1</v>
          </cell>
          <cell r="D526">
            <v>66</v>
          </cell>
        </row>
        <row r="527">
          <cell r="B527" t="str">
            <v>ANT-0688</v>
          </cell>
          <cell r="C527">
            <v>5</v>
          </cell>
          <cell r="D527">
            <v>312</v>
          </cell>
        </row>
        <row r="528">
          <cell r="B528" t="str">
            <v>ANT-0690</v>
          </cell>
          <cell r="C528">
            <v>2</v>
          </cell>
          <cell r="D528">
            <v>140</v>
          </cell>
        </row>
        <row r="529">
          <cell r="B529" t="str">
            <v>ANT-0691</v>
          </cell>
          <cell r="C529">
            <v>1</v>
          </cell>
          <cell r="D529">
            <v>74</v>
          </cell>
        </row>
        <row r="530">
          <cell r="B530" t="str">
            <v>ANT-0695</v>
          </cell>
          <cell r="C530">
            <v>2</v>
          </cell>
          <cell r="D530">
            <v>137</v>
          </cell>
        </row>
        <row r="531">
          <cell r="B531" t="str">
            <v>ANT-0696</v>
          </cell>
          <cell r="C531">
            <v>1</v>
          </cell>
          <cell r="D531">
            <v>28</v>
          </cell>
        </row>
        <row r="532">
          <cell r="B532" t="str">
            <v>ANT-0698</v>
          </cell>
          <cell r="C532">
            <v>2</v>
          </cell>
          <cell r="D532">
            <v>109</v>
          </cell>
        </row>
        <row r="533">
          <cell r="B533" t="str">
            <v>ANT-0699</v>
          </cell>
          <cell r="C533">
            <v>1</v>
          </cell>
          <cell r="D533">
            <v>47</v>
          </cell>
        </row>
        <row r="534">
          <cell r="B534" t="str">
            <v>ANT-0701</v>
          </cell>
          <cell r="C534">
            <v>2</v>
          </cell>
          <cell r="D534">
            <v>93</v>
          </cell>
        </row>
        <row r="535">
          <cell r="B535" t="str">
            <v>ANT-0703</v>
          </cell>
          <cell r="C535">
            <v>1</v>
          </cell>
          <cell r="D535">
            <v>98</v>
          </cell>
        </row>
        <row r="536">
          <cell r="B536" t="str">
            <v>ANT-0704</v>
          </cell>
          <cell r="C536">
            <v>1</v>
          </cell>
          <cell r="D536">
            <v>119</v>
          </cell>
        </row>
        <row r="537">
          <cell r="B537" t="str">
            <v>ANT-0707</v>
          </cell>
          <cell r="C537">
            <v>2</v>
          </cell>
          <cell r="D537">
            <v>120</v>
          </cell>
        </row>
        <row r="538">
          <cell r="B538" t="str">
            <v>ANT-0708</v>
          </cell>
          <cell r="C538">
            <v>3</v>
          </cell>
          <cell r="D538">
            <v>139</v>
          </cell>
        </row>
        <row r="539">
          <cell r="B539" t="str">
            <v>ANT-0709</v>
          </cell>
          <cell r="C539">
            <v>1</v>
          </cell>
          <cell r="D539">
            <v>90</v>
          </cell>
        </row>
        <row r="540">
          <cell r="B540" t="str">
            <v>ANT-0710</v>
          </cell>
          <cell r="C540">
            <v>1</v>
          </cell>
          <cell r="D540">
            <v>30</v>
          </cell>
        </row>
        <row r="541">
          <cell r="B541" t="str">
            <v>ANT-0712</v>
          </cell>
          <cell r="C541">
            <v>1</v>
          </cell>
          <cell r="D541">
            <v>32</v>
          </cell>
        </row>
        <row r="542">
          <cell r="B542" t="str">
            <v>ANT-0714</v>
          </cell>
          <cell r="C542">
            <v>2</v>
          </cell>
          <cell r="D542">
            <v>128</v>
          </cell>
        </row>
        <row r="543">
          <cell r="B543" t="str">
            <v>ANT-0715</v>
          </cell>
          <cell r="C543">
            <v>2</v>
          </cell>
          <cell r="D543">
            <v>226</v>
          </cell>
        </row>
        <row r="544">
          <cell r="B544" t="str">
            <v>ANT-0716</v>
          </cell>
          <cell r="C544">
            <v>1</v>
          </cell>
          <cell r="D544">
            <v>68</v>
          </cell>
        </row>
        <row r="545">
          <cell r="B545" t="str">
            <v>ANT-0718</v>
          </cell>
          <cell r="C545">
            <v>3</v>
          </cell>
          <cell r="D545">
            <v>295</v>
          </cell>
        </row>
        <row r="546">
          <cell r="B546" t="str">
            <v>ANT-0719</v>
          </cell>
          <cell r="C546">
            <v>3</v>
          </cell>
          <cell r="D546">
            <v>187</v>
          </cell>
        </row>
        <row r="547">
          <cell r="B547" t="str">
            <v>ANT-0721</v>
          </cell>
          <cell r="C547">
            <v>1</v>
          </cell>
          <cell r="D547">
            <v>65</v>
          </cell>
        </row>
        <row r="548">
          <cell r="B548" t="str">
            <v>ANT-0723</v>
          </cell>
          <cell r="C548">
            <v>1</v>
          </cell>
          <cell r="D548">
            <v>109</v>
          </cell>
        </row>
        <row r="549">
          <cell r="B549" t="str">
            <v>ANT-0725</v>
          </cell>
          <cell r="C549">
            <v>1</v>
          </cell>
          <cell r="D549">
            <v>29</v>
          </cell>
        </row>
        <row r="550">
          <cell r="B550" t="str">
            <v>ANT-0726</v>
          </cell>
          <cell r="C550">
            <v>1</v>
          </cell>
          <cell r="D550">
            <v>81</v>
          </cell>
        </row>
        <row r="551">
          <cell r="B551" t="str">
            <v>ANT-0727</v>
          </cell>
          <cell r="C551">
            <v>3</v>
          </cell>
          <cell r="D551">
            <v>96</v>
          </cell>
        </row>
        <row r="552">
          <cell r="B552" t="str">
            <v>ANT-0729</v>
          </cell>
          <cell r="C552">
            <v>4</v>
          </cell>
          <cell r="D552">
            <v>208</v>
          </cell>
        </row>
        <row r="553">
          <cell r="B553" t="str">
            <v>ANT-0730</v>
          </cell>
          <cell r="C553">
            <v>2</v>
          </cell>
          <cell r="D553">
            <v>170</v>
          </cell>
        </row>
        <row r="554">
          <cell r="B554" t="str">
            <v>ANT-0731</v>
          </cell>
          <cell r="C554">
            <v>1</v>
          </cell>
          <cell r="D554">
            <v>90</v>
          </cell>
        </row>
        <row r="555">
          <cell r="B555" t="str">
            <v>ANT-0732</v>
          </cell>
          <cell r="C555">
            <v>1</v>
          </cell>
          <cell r="D555">
            <v>62</v>
          </cell>
        </row>
        <row r="556">
          <cell r="B556" t="str">
            <v>ANT-0735</v>
          </cell>
          <cell r="C556">
            <v>1</v>
          </cell>
          <cell r="D556">
            <v>74</v>
          </cell>
        </row>
        <row r="557">
          <cell r="B557" t="str">
            <v>ANT-0737</v>
          </cell>
          <cell r="C557">
            <v>5</v>
          </cell>
          <cell r="D557">
            <v>389</v>
          </cell>
        </row>
        <row r="558">
          <cell r="B558" t="str">
            <v>ANT-0738</v>
          </cell>
          <cell r="C558">
            <v>1</v>
          </cell>
          <cell r="D558">
            <v>60</v>
          </cell>
        </row>
        <row r="559">
          <cell r="B559" t="str">
            <v>ANT-0739</v>
          </cell>
          <cell r="C559">
            <v>3</v>
          </cell>
          <cell r="D559">
            <v>268</v>
          </cell>
        </row>
        <row r="560">
          <cell r="B560" t="str">
            <v>ANT-0740</v>
          </cell>
          <cell r="C560">
            <v>2</v>
          </cell>
          <cell r="D560">
            <v>129</v>
          </cell>
        </row>
        <row r="561">
          <cell r="B561" t="str">
            <v>ANT-0743</v>
          </cell>
          <cell r="C561">
            <v>1</v>
          </cell>
          <cell r="D561">
            <v>53</v>
          </cell>
        </row>
        <row r="562">
          <cell r="B562" t="str">
            <v>ANT-0744</v>
          </cell>
          <cell r="C562">
            <v>1</v>
          </cell>
          <cell r="D562">
            <v>32</v>
          </cell>
        </row>
        <row r="563">
          <cell r="B563" t="str">
            <v>ANT-0745</v>
          </cell>
          <cell r="C563">
            <v>2</v>
          </cell>
          <cell r="D563">
            <v>229</v>
          </cell>
        </row>
        <row r="564">
          <cell r="B564" t="str">
            <v>ANT-0746</v>
          </cell>
          <cell r="C564">
            <v>1</v>
          </cell>
          <cell r="D564">
            <v>94</v>
          </cell>
        </row>
        <row r="565">
          <cell r="B565" t="str">
            <v>ANT-0750</v>
          </cell>
          <cell r="C565">
            <v>1</v>
          </cell>
          <cell r="D565">
            <v>55</v>
          </cell>
        </row>
        <row r="566">
          <cell r="B566" t="str">
            <v>ANT-0753</v>
          </cell>
          <cell r="C566">
            <v>1</v>
          </cell>
          <cell r="D566">
            <v>106</v>
          </cell>
        </row>
        <row r="567">
          <cell r="B567" t="str">
            <v>ANT-0754</v>
          </cell>
          <cell r="C567">
            <v>1</v>
          </cell>
          <cell r="D567">
            <v>67</v>
          </cell>
        </row>
        <row r="568">
          <cell r="B568" t="str">
            <v>ANT-0756</v>
          </cell>
          <cell r="C568">
            <v>1</v>
          </cell>
          <cell r="D568">
            <v>119</v>
          </cell>
        </row>
        <row r="569">
          <cell r="B569" t="str">
            <v>ANT-0757</v>
          </cell>
          <cell r="C569">
            <v>1</v>
          </cell>
          <cell r="D569">
            <v>36</v>
          </cell>
        </row>
        <row r="570">
          <cell r="B570" t="str">
            <v>ANT-0760</v>
          </cell>
          <cell r="C570">
            <v>1</v>
          </cell>
          <cell r="D570">
            <v>72</v>
          </cell>
        </row>
        <row r="571">
          <cell r="B571" t="str">
            <v>ANT-0761</v>
          </cell>
          <cell r="C571">
            <v>1</v>
          </cell>
          <cell r="D571">
            <v>76</v>
          </cell>
        </row>
        <row r="572">
          <cell r="B572" t="str">
            <v>ANT-0762</v>
          </cell>
          <cell r="C572">
            <v>1</v>
          </cell>
          <cell r="D572">
            <v>118</v>
          </cell>
        </row>
        <row r="573">
          <cell r="B573" t="str">
            <v>ANT-0764</v>
          </cell>
          <cell r="C573">
            <v>2</v>
          </cell>
          <cell r="D573">
            <v>114</v>
          </cell>
        </row>
        <row r="574">
          <cell r="B574" t="str">
            <v>ANT-0766</v>
          </cell>
          <cell r="C574">
            <v>3</v>
          </cell>
          <cell r="D574">
            <v>195</v>
          </cell>
        </row>
        <row r="575">
          <cell r="B575" t="str">
            <v>ANT-0768</v>
          </cell>
          <cell r="C575">
            <v>1</v>
          </cell>
          <cell r="D575">
            <v>110</v>
          </cell>
        </row>
        <row r="576">
          <cell r="B576" t="str">
            <v>ANT-0770</v>
          </cell>
          <cell r="C576">
            <v>3</v>
          </cell>
          <cell r="D576">
            <v>217</v>
          </cell>
        </row>
        <row r="577">
          <cell r="B577" t="str">
            <v>ANT-0771</v>
          </cell>
          <cell r="C577">
            <v>1</v>
          </cell>
          <cell r="D577">
            <v>16</v>
          </cell>
        </row>
        <row r="578">
          <cell r="B578" t="str">
            <v>ANT-0774</v>
          </cell>
          <cell r="C578">
            <v>1</v>
          </cell>
          <cell r="D578">
            <v>29</v>
          </cell>
        </row>
        <row r="579">
          <cell r="B579" t="str">
            <v>ANT-0775</v>
          </cell>
          <cell r="C579">
            <v>5</v>
          </cell>
          <cell r="D579">
            <v>273</v>
          </cell>
        </row>
        <row r="580">
          <cell r="B580" t="str">
            <v>ANT-0777</v>
          </cell>
          <cell r="C580">
            <v>1</v>
          </cell>
          <cell r="D580">
            <v>39</v>
          </cell>
        </row>
        <row r="581">
          <cell r="B581" t="str">
            <v>ANT-0779</v>
          </cell>
          <cell r="C581">
            <v>2</v>
          </cell>
          <cell r="D581">
            <v>111</v>
          </cell>
        </row>
        <row r="582">
          <cell r="B582" t="str">
            <v>ANT-0781</v>
          </cell>
          <cell r="C582">
            <v>2</v>
          </cell>
          <cell r="D582">
            <v>114</v>
          </cell>
        </row>
        <row r="583">
          <cell r="B583" t="str">
            <v>ANT-0782</v>
          </cell>
          <cell r="C583">
            <v>1</v>
          </cell>
          <cell r="D583">
            <v>82</v>
          </cell>
        </row>
        <row r="584">
          <cell r="B584" t="str">
            <v>ANT-0784</v>
          </cell>
          <cell r="C584">
            <v>2</v>
          </cell>
          <cell r="D584">
            <v>47</v>
          </cell>
        </row>
        <row r="585">
          <cell r="B585" t="str">
            <v>ANT-0785</v>
          </cell>
          <cell r="C585">
            <v>2</v>
          </cell>
          <cell r="D585">
            <v>78</v>
          </cell>
        </row>
        <row r="586">
          <cell r="B586" t="str">
            <v>ANT-0786</v>
          </cell>
          <cell r="C586">
            <v>2</v>
          </cell>
          <cell r="D586">
            <v>88</v>
          </cell>
        </row>
        <row r="587">
          <cell r="B587" t="str">
            <v>ANT-0787</v>
          </cell>
          <cell r="C587">
            <v>1</v>
          </cell>
          <cell r="D587">
            <v>61</v>
          </cell>
        </row>
        <row r="588">
          <cell r="B588" t="str">
            <v>ANT-0788</v>
          </cell>
          <cell r="C588">
            <v>2</v>
          </cell>
          <cell r="D588">
            <v>103</v>
          </cell>
        </row>
        <row r="589">
          <cell r="B589" t="str">
            <v>ANT-0790</v>
          </cell>
          <cell r="C589">
            <v>2</v>
          </cell>
          <cell r="D589">
            <v>204</v>
          </cell>
        </row>
        <row r="590">
          <cell r="B590" t="str">
            <v>ANT-0792</v>
          </cell>
          <cell r="C590">
            <v>2</v>
          </cell>
          <cell r="D590">
            <v>65</v>
          </cell>
        </row>
        <row r="591">
          <cell r="B591" t="str">
            <v>ANT-0793</v>
          </cell>
          <cell r="C591">
            <v>1</v>
          </cell>
          <cell r="D591">
            <v>33</v>
          </cell>
        </row>
        <row r="592">
          <cell r="B592" t="str">
            <v>ANT-0794</v>
          </cell>
          <cell r="C592">
            <v>1</v>
          </cell>
          <cell r="D592">
            <v>11</v>
          </cell>
        </row>
        <row r="593">
          <cell r="B593" t="str">
            <v>ANT-0797</v>
          </cell>
          <cell r="C593">
            <v>2</v>
          </cell>
          <cell r="D593">
            <v>100</v>
          </cell>
        </row>
        <row r="594">
          <cell r="B594" t="str">
            <v>ANT-0798</v>
          </cell>
          <cell r="C594">
            <v>4</v>
          </cell>
          <cell r="D594">
            <v>224</v>
          </cell>
        </row>
        <row r="595">
          <cell r="B595" t="str">
            <v>ANT-0800</v>
          </cell>
          <cell r="C595">
            <v>1</v>
          </cell>
          <cell r="D595">
            <v>93</v>
          </cell>
        </row>
        <row r="596">
          <cell r="B596" t="str">
            <v>ANT-0801</v>
          </cell>
          <cell r="C596">
            <v>1</v>
          </cell>
          <cell r="D596">
            <v>42</v>
          </cell>
        </row>
        <row r="597">
          <cell r="B597" t="str">
            <v>ANT-0803</v>
          </cell>
          <cell r="C597">
            <v>2</v>
          </cell>
          <cell r="D597">
            <v>113</v>
          </cell>
        </row>
        <row r="598">
          <cell r="B598" t="str">
            <v>ANT-0804</v>
          </cell>
          <cell r="C598">
            <v>2</v>
          </cell>
          <cell r="D598">
            <v>223</v>
          </cell>
        </row>
        <row r="599">
          <cell r="B599" t="str">
            <v>ANT-0805</v>
          </cell>
          <cell r="C599">
            <v>1</v>
          </cell>
          <cell r="D599">
            <v>22</v>
          </cell>
        </row>
        <row r="600">
          <cell r="B600" t="str">
            <v>ANT-0806</v>
          </cell>
          <cell r="C600">
            <v>1</v>
          </cell>
          <cell r="D600">
            <v>68</v>
          </cell>
        </row>
        <row r="601">
          <cell r="B601" t="str">
            <v>ANT-0808</v>
          </cell>
          <cell r="C601">
            <v>1</v>
          </cell>
          <cell r="D601">
            <v>94</v>
          </cell>
        </row>
        <row r="602">
          <cell r="B602" t="str">
            <v>ANT-0809</v>
          </cell>
          <cell r="C602">
            <v>1</v>
          </cell>
          <cell r="D602">
            <v>74</v>
          </cell>
        </row>
        <row r="603">
          <cell r="B603" t="str">
            <v>ANT-0811</v>
          </cell>
          <cell r="C603">
            <v>2</v>
          </cell>
          <cell r="D603">
            <v>174</v>
          </cell>
        </row>
        <row r="604">
          <cell r="B604" t="str">
            <v>ANT-0812</v>
          </cell>
          <cell r="C604">
            <v>1</v>
          </cell>
          <cell r="D604">
            <v>62</v>
          </cell>
        </row>
        <row r="605">
          <cell r="B605" t="str">
            <v>ANT-0813</v>
          </cell>
          <cell r="C605">
            <v>2</v>
          </cell>
          <cell r="D605">
            <v>130</v>
          </cell>
        </row>
        <row r="606">
          <cell r="B606" t="str">
            <v>ANT-0815</v>
          </cell>
          <cell r="C606">
            <v>3</v>
          </cell>
          <cell r="D606">
            <v>195</v>
          </cell>
        </row>
        <row r="607">
          <cell r="B607" t="str">
            <v>ANT-0817</v>
          </cell>
          <cell r="C607">
            <v>1</v>
          </cell>
          <cell r="D607">
            <v>46</v>
          </cell>
        </row>
        <row r="608">
          <cell r="B608" t="str">
            <v>ANT-0819</v>
          </cell>
          <cell r="C608">
            <v>2</v>
          </cell>
          <cell r="D608">
            <v>85</v>
          </cell>
        </row>
        <row r="609">
          <cell r="B609" t="str">
            <v>ANT-0820</v>
          </cell>
          <cell r="C609">
            <v>1</v>
          </cell>
          <cell r="D609">
            <v>33</v>
          </cell>
        </row>
        <row r="610">
          <cell r="B610" t="str">
            <v>ANT-0821</v>
          </cell>
          <cell r="C610">
            <v>3</v>
          </cell>
          <cell r="D610">
            <v>176</v>
          </cell>
        </row>
        <row r="611">
          <cell r="B611" t="str">
            <v>ANT-0825</v>
          </cell>
          <cell r="C611">
            <v>1</v>
          </cell>
          <cell r="D611">
            <v>71</v>
          </cell>
        </row>
        <row r="612">
          <cell r="B612" t="str">
            <v>ANT-0826</v>
          </cell>
          <cell r="C612">
            <v>3</v>
          </cell>
          <cell r="D612">
            <v>121</v>
          </cell>
        </row>
        <row r="613">
          <cell r="B613" t="str">
            <v>ANT-0828</v>
          </cell>
          <cell r="C613">
            <v>1</v>
          </cell>
          <cell r="D613">
            <v>30</v>
          </cell>
        </row>
        <row r="614">
          <cell r="B614" t="str">
            <v>ANT-0829</v>
          </cell>
          <cell r="C614">
            <v>1</v>
          </cell>
          <cell r="D614">
            <v>74</v>
          </cell>
        </row>
        <row r="615">
          <cell r="B615" t="str">
            <v>ANT-0830</v>
          </cell>
          <cell r="C615">
            <v>1</v>
          </cell>
          <cell r="D615">
            <v>39</v>
          </cell>
        </row>
        <row r="616">
          <cell r="B616" t="str">
            <v>ANT-0833</v>
          </cell>
          <cell r="C616">
            <v>1</v>
          </cell>
          <cell r="D616">
            <v>28</v>
          </cell>
        </row>
        <row r="617">
          <cell r="B617" t="str">
            <v>ANT-0834</v>
          </cell>
          <cell r="C617">
            <v>1</v>
          </cell>
          <cell r="D617">
            <v>25</v>
          </cell>
        </row>
        <row r="618">
          <cell r="B618" t="str">
            <v>ANT-0835</v>
          </cell>
          <cell r="C618">
            <v>2</v>
          </cell>
          <cell r="D618">
            <v>153</v>
          </cell>
        </row>
        <row r="619">
          <cell r="B619" t="str">
            <v>ANT-0837</v>
          </cell>
          <cell r="C619">
            <v>4</v>
          </cell>
          <cell r="D619">
            <v>237</v>
          </cell>
        </row>
        <row r="620">
          <cell r="B620" t="str">
            <v>ANT-0839</v>
          </cell>
          <cell r="C620">
            <v>2</v>
          </cell>
          <cell r="D620">
            <v>89</v>
          </cell>
        </row>
        <row r="621">
          <cell r="B621" t="str">
            <v>ANT-0840</v>
          </cell>
          <cell r="C621">
            <v>1</v>
          </cell>
          <cell r="D621">
            <v>117</v>
          </cell>
        </row>
        <row r="622">
          <cell r="B622" t="str">
            <v>ANT-0843</v>
          </cell>
          <cell r="C622">
            <v>1</v>
          </cell>
          <cell r="D622">
            <v>22</v>
          </cell>
        </row>
        <row r="623">
          <cell r="B623" t="str">
            <v>ANT-0844</v>
          </cell>
          <cell r="C623">
            <v>2</v>
          </cell>
          <cell r="D623">
            <v>137</v>
          </cell>
        </row>
        <row r="624">
          <cell r="B624" t="str">
            <v>ANT-0845</v>
          </cell>
          <cell r="C624">
            <v>3</v>
          </cell>
          <cell r="D624">
            <v>163</v>
          </cell>
        </row>
        <row r="625">
          <cell r="B625" t="str">
            <v>ANT-0846</v>
          </cell>
          <cell r="C625">
            <v>2</v>
          </cell>
          <cell r="D625">
            <v>75</v>
          </cell>
        </row>
        <row r="626">
          <cell r="B626" t="str">
            <v>ANT-0848</v>
          </cell>
          <cell r="C626">
            <v>1</v>
          </cell>
          <cell r="D626">
            <v>89</v>
          </cell>
        </row>
        <row r="627">
          <cell r="B627" t="str">
            <v>ANT-0850</v>
          </cell>
          <cell r="C627">
            <v>2</v>
          </cell>
          <cell r="D627">
            <v>99</v>
          </cell>
        </row>
        <row r="628">
          <cell r="B628" t="str">
            <v>ANT-0851</v>
          </cell>
          <cell r="C628">
            <v>3</v>
          </cell>
          <cell r="D628">
            <v>303</v>
          </cell>
        </row>
        <row r="629">
          <cell r="B629" t="str">
            <v>ANT-0852</v>
          </cell>
          <cell r="C629">
            <v>3</v>
          </cell>
          <cell r="D629">
            <v>215</v>
          </cell>
        </row>
        <row r="630">
          <cell r="B630" t="str">
            <v>ANT-0855</v>
          </cell>
          <cell r="C630">
            <v>2</v>
          </cell>
          <cell r="D630">
            <v>98</v>
          </cell>
        </row>
        <row r="631">
          <cell r="B631" t="str">
            <v>ANT-0856</v>
          </cell>
          <cell r="C631">
            <v>1</v>
          </cell>
          <cell r="D631">
            <v>72</v>
          </cell>
        </row>
        <row r="632">
          <cell r="B632" t="str">
            <v>ANT-0857</v>
          </cell>
          <cell r="C632">
            <v>1</v>
          </cell>
          <cell r="D632">
            <v>35</v>
          </cell>
        </row>
        <row r="633">
          <cell r="B633" t="str">
            <v>ANT-0859</v>
          </cell>
          <cell r="C633">
            <v>1</v>
          </cell>
          <cell r="D633">
            <v>114</v>
          </cell>
        </row>
        <row r="634">
          <cell r="B634" t="str">
            <v>ANT-0860</v>
          </cell>
          <cell r="C634">
            <v>1</v>
          </cell>
          <cell r="D634">
            <v>115</v>
          </cell>
        </row>
        <row r="635">
          <cell r="B635" t="str">
            <v>ANT-0861</v>
          </cell>
          <cell r="C635">
            <v>2</v>
          </cell>
          <cell r="D635">
            <v>207</v>
          </cell>
        </row>
        <row r="636">
          <cell r="B636" t="str">
            <v>ANT-0862</v>
          </cell>
          <cell r="C636">
            <v>1</v>
          </cell>
          <cell r="D636">
            <v>19</v>
          </cell>
        </row>
        <row r="637">
          <cell r="B637" t="str">
            <v>ANT-0864</v>
          </cell>
          <cell r="C637">
            <v>2</v>
          </cell>
          <cell r="D637">
            <v>94</v>
          </cell>
        </row>
        <row r="638">
          <cell r="B638" t="str">
            <v>ANT-0865</v>
          </cell>
          <cell r="C638">
            <v>2</v>
          </cell>
          <cell r="D638">
            <v>92</v>
          </cell>
        </row>
        <row r="639">
          <cell r="B639" t="str">
            <v>ANT-0866</v>
          </cell>
          <cell r="C639">
            <v>1</v>
          </cell>
          <cell r="D639">
            <v>120</v>
          </cell>
        </row>
        <row r="640">
          <cell r="B640" t="str">
            <v>ANT-0867</v>
          </cell>
          <cell r="C640">
            <v>3</v>
          </cell>
          <cell r="D640">
            <v>267</v>
          </cell>
        </row>
        <row r="641">
          <cell r="B641" t="str">
            <v>ANT-0868</v>
          </cell>
          <cell r="C641">
            <v>1</v>
          </cell>
          <cell r="D641">
            <v>26</v>
          </cell>
        </row>
        <row r="642">
          <cell r="B642" t="str">
            <v>ANT-0869</v>
          </cell>
          <cell r="C642">
            <v>3</v>
          </cell>
          <cell r="D642">
            <v>182</v>
          </cell>
        </row>
        <row r="643">
          <cell r="B643" t="str">
            <v>ANT-0870</v>
          </cell>
          <cell r="C643">
            <v>1</v>
          </cell>
          <cell r="D643">
            <v>15</v>
          </cell>
        </row>
        <row r="644">
          <cell r="B644" t="str">
            <v>ANT-0872</v>
          </cell>
          <cell r="C644">
            <v>2</v>
          </cell>
          <cell r="D644">
            <v>39</v>
          </cell>
        </row>
        <row r="645">
          <cell r="B645" t="str">
            <v>ANT-0873</v>
          </cell>
          <cell r="C645">
            <v>1</v>
          </cell>
          <cell r="D645">
            <v>20</v>
          </cell>
        </row>
        <row r="646">
          <cell r="B646" t="str">
            <v>ANT-0874</v>
          </cell>
          <cell r="C646">
            <v>2</v>
          </cell>
          <cell r="D646">
            <v>106</v>
          </cell>
        </row>
        <row r="647">
          <cell r="B647" t="str">
            <v>ANT-0875</v>
          </cell>
          <cell r="C647">
            <v>1</v>
          </cell>
          <cell r="D647">
            <v>28</v>
          </cell>
        </row>
        <row r="648">
          <cell r="B648" t="str">
            <v>ANT-0881</v>
          </cell>
          <cell r="C648">
            <v>1</v>
          </cell>
          <cell r="D648">
            <v>5</v>
          </cell>
        </row>
        <row r="649">
          <cell r="B649" t="str">
            <v>ANT-0882</v>
          </cell>
          <cell r="C649">
            <v>1</v>
          </cell>
          <cell r="D649">
            <v>81</v>
          </cell>
        </row>
        <row r="650">
          <cell r="B650" t="str">
            <v>ANT-0883</v>
          </cell>
          <cell r="C650">
            <v>3</v>
          </cell>
          <cell r="D650">
            <v>164</v>
          </cell>
        </row>
        <row r="651">
          <cell r="B651" t="str">
            <v>ANT-0885</v>
          </cell>
          <cell r="C651">
            <v>1</v>
          </cell>
          <cell r="D651">
            <v>108</v>
          </cell>
        </row>
        <row r="652">
          <cell r="B652" t="str">
            <v>ANT-0886</v>
          </cell>
          <cell r="C652">
            <v>1</v>
          </cell>
          <cell r="D652">
            <v>10</v>
          </cell>
        </row>
        <row r="653">
          <cell r="B653" t="str">
            <v>ANT-0887</v>
          </cell>
          <cell r="C653">
            <v>1</v>
          </cell>
          <cell r="D653">
            <v>14</v>
          </cell>
        </row>
        <row r="654">
          <cell r="B654" t="str">
            <v>ANT-0888</v>
          </cell>
          <cell r="C654">
            <v>1</v>
          </cell>
          <cell r="D654">
            <v>89</v>
          </cell>
        </row>
        <row r="655">
          <cell r="B655" t="str">
            <v>ANT-0891</v>
          </cell>
          <cell r="C655">
            <v>2</v>
          </cell>
          <cell r="D655">
            <v>125</v>
          </cell>
        </row>
        <row r="656">
          <cell r="B656" t="str">
            <v>ANT-0892</v>
          </cell>
          <cell r="C656">
            <v>2</v>
          </cell>
          <cell r="D656">
            <v>111</v>
          </cell>
        </row>
        <row r="657">
          <cell r="B657" t="str">
            <v>ANT-0894</v>
          </cell>
          <cell r="C657">
            <v>1</v>
          </cell>
          <cell r="D657">
            <v>10</v>
          </cell>
        </row>
        <row r="658">
          <cell r="B658" t="str">
            <v>ANT-0896</v>
          </cell>
          <cell r="C658">
            <v>2</v>
          </cell>
          <cell r="D658">
            <v>61</v>
          </cell>
        </row>
        <row r="659">
          <cell r="B659" t="str">
            <v>ANT-0897</v>
          </cell>
          <cell r="C659">
            <v>3</v>
          </cell>
          <cell r="D659">
            <v>161</v>
          </cell>
        </row>
        <row r="660">
          <cell r="B660" t="str">
            <v>ANT-0898</v>
          </cell>
          <cell r="C660">
            <v>1</v>
          </cell>
          <cell r="D660">
            <v>120</v>
          </cell>
        </row>
        <row r="661">
          <cell r="B661" t="str">
            <v>ANT-0900</v>
          </cell>
          <cell r="C661">
            <v>3</v>
          </cell>
          <cell r="D661">
            <v>176</v>
          </cell>
        </row>
        <row r="662">
          <cell r="B662" t="str">
            <v>ANT-0901</v>
          </cell>
          <cell r="C662">
            <v>1</v>
          </cell>
          <cell r="D662">
            <v>98</v>
          </cell>
        </row>
        <row r="663">
          <cell r="B663" t="str">
            <v>ANT-0902</v>
          </cell>
          <cell r="C663">
            <v>4</v>
          </cell>
          <cell r="D663">
            <v>273</v>
          </cell>
        </row>
        <row r="664">
          <cell r="B664" t="str">
            <v>ANT-0903</v>
          </cell>
          <cell r="C664">
            <v>2</v>
          </cell>
          <cell r="D664">
            <v>147</v>
          </cell>
        </row>
        <row r="665">
          <cell r="B665" t="str">
            <v>ANT-0905</v>
          </cell>
          <cell r="C665">
            <v>1</v>
          </cell>
          <cell r="D665">
            <v>38</v>
          </cell>
        </row>
        <row r="666">
          <cell r="B666" t="str">
            <v>ANT-0911</v>
          </cell>
          <cell r="C666">
            <v>1</v>
          </cell>
          <cell r="D666">
            <v>36</v>
          </cell>
        </row>
        <row r="667">
          <cell r="B667" t="str">
            <v>ANT-0912</v>
          </cell>
          <cell r="C667">
            <v>1</v>
          </cell>
          <cell r="D667">
            <v>69</v>
          </cell>
        </row>
        <row r="668">
          <cell r="B668" t="str">
            <v>ANT-0913</v>
          </cell>
          <cell r="C668">
            <v>1</v>
          </cell>
          <cell r="D668">
            <v>96</v>
          </cell>
        </row>
        <row r="669">
          <cell r="B669" t="str">
            <v>ANT-0914</v>
          </cell>
          <cell r="C669">
            <v>2</v>
          </cell>
          <cell r="D669">
            <v>155</v>
          </cell>
        </row>
        <row r="670">
          <cell r="B670" t="str">
            <v>ANT-0918</v>
          </cell>
          <cell r="C670">
            <v>1</v>
          </cell>
          <cell r="D670">
            <v>36</v>
          </cell>
        </row>
        <row r="671">
          <cell r="B671" t="str">
            <v>ANT-0919</v>
          </cell>
          <cell r="C671">
            <v>2</v>
          </cell>
          <cell r="D671">
            <v>213</v>
          </cell>
        </row>
        <row r="672">
          <cell r="B672" t="str">
            <v>ANT-0920</v>
          </cell>
          <cell r="C672">
            <v>1</v>
          </cell>
          <cell r="D672">
            <v>119</v>
          </cell>
        </row>
        <row r="673">
          <cell r="B673" t="str">
            <v>ANT-0921</v>
          </cell>
          <cell r="C673">
            <v>2</v>
          </cell>
          <cell r="D673">
            <v>138</v>
          </cell>
        </row>
        <row r="674">
          <cell r="B674" t="str">
            <v>ANT-0922</v>
          </cell>
          <cell r="C674">
            <v>1</v>
          </cell>
          <cell r="D674">
            <v>43</v>
          </cell>
        </row>
        <row r="675">
          <cell r="B675" t="str">
            <v>ANT-0923</v>
          </cell>
          <cell r="C675">
            <v>1</v>
          </cell>
          <cell r="D675">
            <v>64</v>
          </cell>
        </row>
        <row r="676">
          <cell r="B676" t="str">
            <v>ANT-0924</v>
          </cell>
          <cell r="C676">
            <v>1</v>
          </cell>
          <cell r="D676">
            <v>93</v>
          </cell>
        </row>
        <row r="677">
          <cell r="B677" t="str">
            <v>ANT-0925</v>
          </cell>
          <cell r="C677">
            <v>1</v>
          </cell>
          <cell r="D677">
            <v>52</v>
          </cell>
        </row>
        <row r="678">
          <cell r="B678" t="str">
            <v>ANT-0926</v>
          </cell>
          <cell r="C678">
            <v>3</v>
          </cell>
          <cell r="D678">
            <v>289</v>
          </cell>
        </row>
        <row r="679">
          <cell r="B679" t="str">
            <v>ANT-0927</v>
          </cell>
          <cell r="C679">
            <v>1</v>
          </cell>
          <cell r="D679">
            <v>49</v>
          </cell>
        </row>
        <row r="680">
          <cell r="B680" t="str">
            <v>ANT-0928</v>
          </cell>
          <cell r="C680">
            <v>1</v>
          </cell>
          <cell r="D680">
            <v>21</v>
          </cell>
        </row>
        <row r="681">
          <cell r="B681" t="str">
            <v>ANT-0929</v>
          </cell>
          <cell r="C681">
            <v>1</v>
          </cell>
          <cell r="D681">
            <v>5</v>
          </cell>
        </row>
        <row r="682">
          <cell r="B682" t="str">
            <v>ANT-0930</v>
          </cell>
          <cell r="C682">
            <v>2</v>
          </cell>
          <cell r="D682">
            <v>88</v>
          </cell>
        </row>
        <row r="683">
          <cell r="B683" t="str">
            <v>ANT-0932</v>
          </cell>
          <cell r="C683">
            <v>3</v>
          </cell>
          <cell r="D683">
            <v>105</v>
          </cell>
        </row>
        <row r="684">
          <cell r="B684" t="str">
            <v>ANT-0934</v>
          </cell>
          <cell r="C684">
            <v>1</v>
          </cell>
          <cell r="D684">
            <v>48</v>
          </cell>
        </row>
        <row r="685">
          <cell r="B685" t="str">
            <v>ANT-0935</v>
          </cell>
          <cell r="C685">
            <v>1</v>
          </cell>
          <cell r="D685">
            <v>68</v>
          </cell>
        </row>
        <row r="686">
          <cell r="B686" t="str">
            <v>ANT-0936</v>
          </cell>
          <cell r="C686">
            <v>3</v>
          </cell>
          <cell r="D686">
            <v>160</v>
          </cell>
        </row>
        <row r="687">
          <cell r="B687" t="str">
            <v>ANT-0941</v>
          </cell>
          <cell r="C687">
            <v>2</v>
          </cell>
          <cell r="D687">
            <v>51</v>
          </cell>
        </row>
        <row r="688">
          <cell r="B688" t="str">
            <v>ANT-0942</v>
          </cell>
          <cell r="C688">
            <v>1</v>
          </cell>
          <cell r="D688">
            <v>73</v>
          </cell>
        </row>
        <row r="689">
          <cell r="B689" t="str">
            <v>ANT-0944</v>
          </cell>
          <cell r="C689">
            <v>1</v>
          </cell>
          <cell r="D689">
            <v>104</v>
          </cell>
        </row>
        <row r="690">
          <cell r="B690" t="str">
            <v>ANT-0945</v>
          </cell>
          <cell r="C690">
            <v>1</v>
          </cell>
          <cell r="D690">
            <v>64</v>
          </cell>
        </row>
        <row r="691">
          <cell r="B691" t="str">
            <v>ANT-0950</v>
          </cell>
          <cell r="C691">
            <v>1</v>
          </cell>
          <cell r="D691">
            <v>25</v>
          </cell>
        </row>
        <row r="692">
          <cell r="B692" t="str">
            <v>ANT-0951</v>
          </cell>
          <cell r="C692">
            <v>1</v>
          </cell>
          <cell r="D692">
            <v>115</v>
          </cell>
        </row>
        <row r="693">
          <cell r="B693" t="str">
            <v>ANT-0952</v>
          </cell>
          <cell r="C693">
            <v>2</v>
          </cell>
          <cell r="D693">
            <v>134</v>
          </cell>
        </row>
        <row r="694">
          <cell r="B694" t="str">
            <v>ANT-0955</v>
          </cell>
          <cell r="C694">
            <v>3</v>
          </cell>
          <cell r="D694">
            <v>214</v>
          </cell>
        </row>
        <row r="695">
          <cell r="B695" t="str">
            <v>ANT-0957</v>
          </cell>
          <cell r="C695">
            <v>3</v>
          </cell>
          <cell r="D695">
            <v>114</v>
          </cell>
        </row>
        <row r="696">
          <cell r="B696" t="str">
            <v>ANT-0958</v>
          </cell>
          <cell r="C696">
            <v>1</v>
          </cell>
          <cell r="D696">
            <v>15</v>
          </cell>
        </row>
        <row r="697">
          <cell r="B697" t="str">
            <v>ANT-0959</v>
          </cell>
          <cell r="C697">
            <v>1</v>
          </cell>
          <cell r="D697">
            <v>38</v>
          </cell>
        </row>
        <row r="698">
          <cell r="B698" t="str">
            <v>ANT-0960</v>
          </cell>
          <cell r="C698">
            <v>2</v>
          </cell>
          <cell r="D698">
            <v>146</v>
          </cell>
        </row>
        <row r="699">
          <cell r="B699" t="str">
            <v>ANT-0963</v>
          </cell>
          <cell r="C699">
            <v>1</v>
          </cell>
          <cell r="D699">
            <v>72</v>
          </cell>
        </row>
        <row r="700">
          <cell r="B700" t="str">
            <v>ANT-0964</v>
          </cell>
          <cell r="C700">
            <v>1</v>
          </cell>
          <cell r="D700">
            <v>77</v>
          </cell>
        </row>
        <row r="701">
          <cell r="B701" t="str">
            <v>ANT-0966</v>
          </cell>
          <cell r="C701">
            <v>1</v>
          </cell>
          <cell r="D701">
            <v>88</v>
          </cell>
        </row>
        <row r="702">
          <cell r="B702" t="str">
            <v>ANT-0967</v>
          </cell>
          <cell r="C702">
            <v>1</v>
          </cell>
          <cell r="D702">
            <v>84</v>
          </cell>
        </row>
        <row r="703">
          <cell r="B703" t="str">
            <v>ANT-0968</v>
          </cell>
          <cell r="C703">
            <v>2</v>
          </cell>
          <cell r="D703">
            <v>124</v>
          </cell>
        </row>
        <row r="704">
          <cell r="B704" t="str">
            <v>ANT-0969</v>
          </cell>
          <cell r="C704">
            <v>1</v>
          </cell>
          <cell r="D704">
            <v>36</v>
          </cell>
        </row>
        <row r="705">
          <cell r="B705" t="str">
            <v>ANT-0970</v>
          </cell>
          <cell r="C705">
            <v>2</v>
          </cell>
          <cell r="D705">
            <v>142</v>
          </cell>
        </row>
        <row r="706">
          <cell r="B706" t="str">
            <v>ANT-0971</v>
          </cell>
          <cell r="C706">
            <v>4</v>
          </cell>
          <cell r="D706">
            <v>347</v>
          </cell>
        </row>
        <row r="707">
          <cell r="B707" t="str">
            <v>ANT-0972</v>
          </cell>
          <cell r="C707">
            <v>1</v>
          </cell>
          <cell r="D707">
            <v>36</v>
          </cell>
        </row>
        <row r="708">
          <cell r="B708" t="str">
            <v>ANT-0973</v>
          </cell>
          <cell r="C708">
            <v>1</v>
          </cell>
          <cell r="D708">
            <v>78</v>
          </cell>
        </row>
        <row r="709">
          <cell r="B709" t="str">
            <v>ANT-0974</v>
          </cell>
          <cell r="C709">
            <v>1</v>
          </cell>
          <cell r="D709">
            <v>35</v>
          </cell>
        </row>
        <row r="710">
          <cell r="B710" t="str">
            <v>ANT-0975</v>
          </cell>
          <cell r="C710">
            <v>1</v>
          </cell>
          <cell r="D710">
            <v>87</v>
          </cell>
        </row>
        <row r="711">
          <cell r="B711" t="str">
            <v>ANT-0976</v>
          </cell>
          <cell r="C711">
            <v>3</v>
          </cell>
          <cell r="D711">
            <v>210</v>
          </cell>
        </row>
        <row r="712">
          <cell r="B712" t="str">
            <v>ANT-0977</v>
          </cell>
          <cell r="C712">
            <v>2</v>
          </cell>
          <cell r="D712">
            <v>153</v>
          </cell>
        </row>
        <row r="713">
          <cell r="B713" t="str">
            <v>ANT-0978</v>
          </cell>
          <cell r="C713">
            <v>1</v>
          </cell>
          <cell r="D713">
            <v>22</v>
          </cell>
        </row>
        <row r="714">
          <cell r="B714" t="str">
            <v>ANT-0980</v>
          </cell>
          <cell r="C714">
            <v>1</v>
          </cell>
          <cell r="D714">
            <v>92</v>
          </cell>
        </row>
        <row r="715">
          <cell r="B715" t="str">
            <v>ANT-0983</v>
          </cell>
          <cell r="C715">
            <v>1</v>
          </cell>
          <cell r="D715">
            <v>69</v>
          </cell>
        </row>
        <row r="716">
          <cell r="B716" t="str">
            <v>ANT-0985</v>
          </cell>
          <cell r="C716">
            <v>1</v>
          </cell>
          <cell r="D716">
            <v>99</v>
          </cell>
        </row>
        <row r="717">
          <cell r="B717" t="str">
            <v>ANT-0986</v>
          </cell>
          <cell r="C717">
            <v>1</v>
          </cell>
          <cell r="D717">
            <v>63</v>
          </cell>
        </row>
        <row r="718">
          <cell r="B718" t="str">
            <v>ANT-0987</v>
          </cell>
          <cell r="C718">
            <v>1</v>
          </cell>
          <cell r="D718">
            <v>35</v>
          </cell>
        </row>
        <row r="719">
          <cell r="B719" t="str">
            <v>ANT-0988</v>
          </cell>
          <cell r="C719">
            <v>3</v>
          </cell>
          <cell r="D719">
            <v>236</v>
          </cell>
        </row>
        <row r="720">
          <cell r="B720" t="str">
            <v>ANT-0989</v>
          </cell>
          <cell r="C720">
            <v>2</v>
          </cell>
          <cell r="D720">
            <v>168</v>
          </cell>
        </row>
        <row r="721">
          <cell r="B721" t="str">
            <v>ANT-0990</v>
          </cell>
          <cell r="C721">
            <v>4</v>
          </cell>
          <cell r="D721">
            <v>237</v>
          </cell>
        </row>
        <row r="722">
          <cell r="B722" t="str">
            <v>ANT-0991</v>
          </cell>
          <cell r="C722">
            <v>1</v>
          </cell>
          <cell r="D722">
            <v>91</v>
          </cell>
        </row>
        <row r="723">
          <cell r="B723" t="str">
            <v>ANT-0994</v>
          </cell>
          <cell r="C723">
            <v>2</v>
          </cell>
          <cell r="D723">
            <v>219</v>
          </cell>
        </row>
        <row r="724">
          <cell r="B724" t="str">
            <v>ANT-0995</v>
          </cell>
          <cell r="C724">
            <v>2</v>
          </cell>
          <cell r="D724">
            <v>151</v>
          </cell>
        </row>
        <row r="725">
          <cell r="B725" t="str">
            <v>ANT-0996</v>
          </cell>
          <cell r="C725">
            <v>2</v>
          </cell>
          <cell r="D725">
            <v>92</v>
          </cell>
        </row>
        <row r="726">
          <cell r="B726" t="str">
            <v>ANT-0997</v>
          </cell>
          <cell r="C726">
            <v>1</v>
          </cell>
          <cell r="D726">
            <v>109</v>
          </cell>
        </row>
        <row r="727">
          <cell r="B727" t="str">
            <v>ANT-0998</v>
          </cell>
          <cell r="C727">
            <v>1</v>
          </cell>
          <cell r="D727">
            <v>57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6.759331250003" createdVersion="8" refreshedVersion="8" minRefreshableVersion="3" recordCount="500" xr:uid="{31803A91-6F87-44B6-B8B8-1C7837A720F0}">
  <cacheSource type="worksheet">
    <worksheetSource name="Tableau2"/>
  </cacheSource>
  <cacheFields count="8">
    <cacheField name="ID_Antenne" numFmtId="0">
      <sharedItems/>
    </cacheField>
    <cacheField name="Province_RDC" numFmtId="0">
      <sharedItems containsBlank="1" count="27">
        <s v="Nord-Ubangi"/>
        <s v="Mai-Ndombe"/>
        <s v="Equateur"/>
        <s v="Bas-Uele"/>
        <s v="Tshopo"/>
        <s v="Haut-Lomami"/>
        <s v="Haut-Katanga"/>
        <s v="Kongo-Central"/>
        <s v="Sankuru"/>
        <s v="Kasai"/>
        <s v="Kinshasa"/>
        <s v="Lomami"/>
        <s v="Ituri"/>
        <s v="Mongala"/>
        <s v="Kasai-Central"/>
        <s v="Nord-Kivu"/>
        <s v="Kasai-Oriental"/>
        <s v="Sud-Ubangi"/>
        <s v="Maniema"/>
        <s v="Tshuapa"/>
        <s v="Kwilu"/>
        <s v="Sud-Kivu"/>
        <s v="Lualaba"/>
        <s v="Haut-Uele"/>
        <s v="Tanganyika"/>
        <s v="Kwango"/>
        <m/>
      </sharedItems>
    </cacheField>
    <cacheField name="Latitude" numFmtId="0">
      <sharedItems containsSemiMixedTypes="0" containsString="0" containsNumber="1" minValue="-12.88086" maxValue="4.9455159999999996"/>
    </cacheField>
    <cacheField name="Longitude" numFmtId="0">
      <sharedItems containsSemiMixedTypes="0" containsString="0" containsNumber="1" minValue="12.013676999999999" maxValue="30.924261000000001"/>
    </cacheField>
    <cacheField name="Technologie" numFmtId="0">
      <sharedItems count="3">
        <s v="4G"/>
        <s v="5G"/>
        <s v="3G"/>
      </sharedItems>
    </cacheField>
    <cacheField name="Equipementier" numFmtId="0">
      <sharedItems/>
    </cacheField>
    <cacheField name="Nbre_Abonnés_Impactés" numFmtId="1">
      <sharedItems containsMixedTypes="1" containsNumber="1" containsInteger="1" minValue="1" maxValue="11" count="12">
        <n v="5"/>
        <n v="6"/>
        <n v="3"/>
        <n v="4"/>
        <n v="2"/>
        <n v="1"/>
        <n v="8"/>
        <n v="7"/>
        <n v="9"/>
        <s v="NA"/>
        <n v="10"/>
        <n v="11"/>
      </sharedItems>
    </cacheField>
    <cacheField name="Durée_Total_panne_Min" numFmtId="1">
      <sharedItems containsMixedTypes="1" containsNumber="1" containsInteger="1" minValue="5" maxValue="608" count="228">
        <n v="252"/>
        <n v="356"/>
        <n v="281"/>
        <n v="132"/>
        <n v="250"/>
        <n v="203"/>
        <n v="230"/>
        <n v="208"/>
        <n v="283"/>
        <n v="254"/>
        <n v="340"/>
        <n v="153"/>
        <n v="189"/>
        <n v="46"/>
        <n v="447"/>
        <n v="471"/>
        <n v="128"/>
        <n v="400"/>
        <n v="444"/>
        <n v="268"/>
        <n v="210"/>
        <n v="512"/>
        <n v="554"/>
        <n v="314"/>
        <n v="384"/>
        <n v="351"/>
        <n v="321"/>
        <n v="149"/>
        <n v="272"/>
        <n v="177"/>
        <n v="416"/>
        <n v="334"/>
        <n v="489"/>
        <n v="300"/>
        <n v="137"/>
        <n v="608"/>
        <n v="480"/>
        <n v="373"/>
        <n v="228"/>
        <n v="369"/>
        <s v="NA"/>
        <n v="184"/>
        <n v="495"/>
        <n v="265"/>
        <n v="358"/>
        <n v="412"/>
        <n v="312"/>
        <n v="445"/>
        <n v="583"/>
        <n v="305"/>
        <n v="195"/>
        <n v="420"/>
        <n v="118"/>
        <n v="257"/>
        <n v="244"/>
        <n v="402"/>
        <n v="328"/>
        <n v="192"/>
        <n v="596"/>
        <n v="497"/>
        <n v="442"/>
        <n v="371"/>
        <n v="196"/>
        <n v="79"/>
        <n v="212"/>
        <n v="599"/>
        <n v="454"/>
        <n v="562"/>
        <n v="105"/>
        <n v="461"/>
        <n v="296"/>
        <n v="456"/>
        <n v="255"/>
        <n v="221"/>
        <n v="164"/>
        <n v="434"/>
        <n v="229"/>
        <n v="316"/>
        <n v="307"/>
        <n v="165"/>
        <n v="494"/>
        <n v="26"/>
        <n v="140"/>
        <n v="374"/>
        <n v="516"/>
        <n v="111"/>
        <n v="270"/>
        <n v="82"/>
        <n v="53"/>
        <n v="87"/>
        <n v="68"/>
        <n v="112"/>
        <n v="27"/>
        <n v="75"/>
        <n v="98"/>
        <n v="110"/>
        <n v="94"/>
        <n v="33"/>
        <n v="63"/>
        <n v="169"/>
        <n v="227"/>
        <n v="43"/>
        <n v="38"/>
        <n v="126"/>
        <n v="127"/>
        <n v="11"/>
        <n v="106"/>
        <n v="237"/>
        <n v="141"/>
        <n v="222"/>
        <n v="104"/>
        <n v="159"/>
        <n v="97"/>
        <n v="157"/>
        <n v="107"/>
        <n v="103"/>
        <n v="108"/>
        <n v="258"/>
        <n v="206"/>
        <n v="28"/>
        <n v="34"/>
        <n v="181"/>
        <n v="78"/>
        <n v="41"/>
        <n v="39"/>
        <n v="61"/>
        <n v="30"/>
        <n v="115"/>
        <n v="25"/>
        <n v="92"/>
        <n v="57"/>
        <n v="14"/>
        <n v="191"/>
        <n v="120"/>
        <n v="122"/>
        <n v="151"/>
        <n v="42"/>
        <n v="167"/>
        <n v="52"/>
        <n v="88"/>
        <n v="146"/>
        <n v="9"/>
        <n v="101"/>
        <n v="100"/>
        <n v="136"/>
        <n v="114"/>
        <n v="5"/>
        <n v="85"/>
        <n v="99"/>
        <n v="152"/>
        <n v="37"/>
        <n v="144"/>
        <n v="211"/>
        <n v="20"/>
        <n v="133"/>
        <n v="23"/>
        <n v="155"/>
        <n v="60"/>
        <n v="209"/>
        <n v="62"/>
        <n v="183"/>
        <n v="145"/>
        <n v="162"/>
        <n v="64"/>
        <n v="148"/>
        <n v="121"/>
        <n v="89"/>
        <n v="81"/>
        <n v="226"/>
        <n v="190"/>
        <n v="80"/>
        <n v="58"/>
        <n v="197"/>
        <n v="12"/>
        <n v="298"/>
        <n v="66"/>
        <n v="83"/>
        <n v="139"/>
        <n v="150"/>
        <n v="50"/>
        <n v="187"/>
        <n v="171"/>
        <n v="156"/>
        <n v="385"/>
        <n v="352"/>
        <n v="291"/>
        <n v="65"/>
        <n v="74"/>
        <n v="72"/>
        <n v="266"/>
        <n v="8"/>
        <n v="93"/>
        <n v="295"/>
        <n v="90"/>
        <n v="389"/>
        <n v="55"/>
        <n v="67"/>
        <n v="217"/>
        <n v="273"/>
        <n v="204"/>
        <n v="223"/>
        <n v="174"/>
        <n v="130"/>
        <n v="176"/>
        <n v="22"/>
        <n v="163"/>
        <n v="215"/>
        <n v="19"/>
        <n v="182"/>
        <n v="15"/>
        <n v="10"/>
        <n v="96"/>
        <n v="36"/>
        <n v="138"/>
        <n v="289"/>
        <n v="21"/>
        <n v="48"/>
        <n v="160"/>
        <n v="51"/>
        <n v="73"/>
        <n v="134"/>
        <n v="77"/>
        <n v="142"/>
        <n v="236"/>
        <n v="168"/>
        <n v="91"/>
        <n v="219"/>
        <n v="1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NT-0001"/>
    <x v="0"/>
    <n v="-8.1437910000000002"/>
    <n v="28.946161"/>
    <x v="0"/>
    <s v="ZTE"/>
    <x v="0"/>
    <x v="0"/>
  </r>
  <r>
    <s v="ANT-0002"/>
    <x v="1"/>
    <n v="-10.442425"/>
    <n v="23.243632000000002"/>
    <x v="0"/>
    <s v="Nokia"/>
    <x v="1"/>
    <x v="1"/>
  </r>
  <r>
    <s v="ANT-0005"/>
    <x v="2"/>
    <n v="-3.544581"/>
    <n v="14.776605"/>
    <x v="0"/>
    <s v="Nokia"/>
    <x v="1"/>
    <x v="2"/>
  </r>
  <r>
    <s v="ANT-0006"/>
    <x v="3"/>
    <n v="-2.8532869999999999"/>
    <n v="22.117896000000002"/>
    <x v="1"/>
    <s v="Huawei"/>
    <x v="2"/>
    <x v="3"/>
  </r>
  <r>
    <s v="ANT-0007"/>
    <x v="4"/>
    <n v="4.7777349999999998"/>
    <n v="16.392204"/>
    <x v="1"/>
    <s v="ZTE"/>
    <x v="3"/>
    <x v="4"/>
  </r>
  <r>
    <s v="ANT-0008"/>
    <x v="5"/>
    <n v="-11.89448"/>
    <n v="19.216214999999998"/>
    <x v="2"/>
    <s v="ZTE"/>
    <x v="3"/>
    <x v="5"/>
  </r>
  <r>
    <s v="ANT-0010"/>
    <x v="6"/>
    <n v="4.4712560000000003"/>
    <n v="27.107028"/>
    <x v="2"/>
    <s v="Ericsson"/>
    <x v="2"/>
    <x v="6"/>
  </r>
  <r>
    <s v="ANT-0011"/>
    <x v="1"/>
    <n v="-1.607639"/>
    <n v="17.003636"/>
    <x v="0"/>
    <s v="Ericsson"/>
    <x v="3"/>
    <x v="7"/>
  </r>
  <r>
    <s v="ANT-0016"/>
    <x v="7"/>
    <n v="2.9836019999999999"/>
    <n v="21.893065"/>
    <x v="1"/>
    <s v="Nokia"/>
    <x v="3"/>
    <x v="8"/>
  </r>
  <r>
    <s v="ANT-0017"/>
    <x v="8"/>
    <n v="-3.419035"/>
    <n v="29.018315999999999"/>
    <x v="1"/>
    <s v="Ericsson"/>
    <x v="2"/>
    <x v="9"/>
  </r>
  <r>
    <s v="ANT-0020"/>
    <x v="9"/>
    <n v="-10.059846"/>
    <n v="14.375757999999999"/>
    <x v="0"/>
    <s v="Huawei"/>
    <x v="1"/>
    <x v="10"/>
  </r>
  <r>
    <s v="ANT-0023"/>
    <x v="5"/>
    <n v="-9.7801860000000005"/>
    <n v="16.649550000000001"/>
    <x v="1"/>
    <s v="Ericsson"/>
    <x v="4"/>
    <x v="11"/>
  </r>
  <r>
    <s v="ANT-0029"/>
    <x v="10"/>
    <n v="-10.227569000000001"/>
    <n v="18.887930999999998"/>
    <x v="2"/>
    <s v="ZTE"/>
    <x v="2"/>
    <x v="12"/>
  </r>
  <r>
    <s v="ANT-0032"/>
    <x v="11"/>
    <n v="-11.266565999999999"/>
    <n v="26.245055000000001"/>
    <x v="2"/>
    <s v="Ericsson"/>
    <x v="5"/>
    <x v="13"/>
  </r>
  <r>
    <s v="ANT-0035"/>
    <x v="5"/>
    <n v="-6.3324319999999998"/>
    <n v="24.887858000000001"/>
    <x v="0"/>
    <s v="ZTE"/>
    <x v="6"/>
    <x v="14"/>
  </r>
  <r>
    <s v="ANT-0037"/>
    <x v="12"/>
    <n v="-7.0076900000000002"/>
    <n v="27.367121999999998"/>
    <x v="2"/>
    <s v="Nokia"/>
    <x v="7"/>
    <x v="15"/>
  </r>
  <r>
    <s v="ANT-0038"/>
    <x v="12"/>
    <n v="-0.767455"/>
    <n v="30.924261000000001"/>
    <x v="2"/>
    <s v="Huawei"/>
    <x v="4"/>
    <x v="16"/>
  </r>
  <r>
    <s v="ANT-0039"/>
    <x v="13"/>
    <n v="4.0988100000000003"/>
    <n v="29.843810999999999"/>
    <x v="2"/>
    <s v="Huawei"/>
    <x v="0"/>
    <x v="17"/>
  </r>
  <r>
    <s v="ANT-0040"/>
    <x v="4"/>
    <n v="1.472051"/>
    <n v="17.36289"/>
    <x v="0"/>
    <s v="Huawei"/>
    <x v="0"/>
    <x v="18"/>
  </r>
  <r>
    <s v="ANT-0041"/>
    <x v="6"/>
    <n v="0.16841400000000001"/>
    <n v="30.029876999999999"/>
    <x v="1"/>
    <s v="Huawei"/>
    <x v="2"/>
    <x v="19"/>
  </r>
  <r>
    <s v="ANT-0042"/>
    <x v="14"/>
    <n v="-10.735106"/>
    <n v="27.868673999999999"/>
    <x v="2"/>
    <s v="Ericsson"/>
    <x v="4"/>
    <x v="20"/>
  </r>
  <r>
    <s v="ANT-0044"/>
    <x v="15"/>
    <n v="-6.5529849999999996"/>
    <n v="21.990606"/>
    <x v="2"/>
    <s v="Huawei"/>
    <x v="7"/>
    <x v="21"/>
  </r>
  <r>
    <s v="ANT-0045"/>
    <x v="15"/>
    <n v="-0.17258100000000001"/>
    <n v="23.775555000000001"/>
    <x v="1"/>
    <s v="Nokia"/>
    <x v="0"/>
    <x v="9"/>
  </r>
  <r>
    <s v="ANT-0048"/>
    <x v="2"/>
    <n v="-6.7420359999999997"/>
    <n v="28.905578999999999"/>
    <x v="2"/>
    <s v="Huawei"/>
    <x v="8"/>
    <x v="22"/>
  </r>
  <r>
    <s v="ANT-0054"/>
    <x v="13"/>
    <n v="-1.231033"/>
    <n v="28.851388"/>
    <x v="2"/>
    <s v="Ericsson"/>
    <x v="0"/>
    <x v="23"/>
  </r>
  <r>
    <s v="ANT-0056"/>
    <x v="1"/>
    <n v="-9.3652280000000001"/>
    <n v="18.674116000000001"/>
    <x v="0"/>
    <s v="Huawei"/>
    <x v="8"/>
    <x v="24"/>
  </r>
  <r>
    <s v="ANT-0058"/>
    <x v="4"/>
    <n v="-6.4670189999999996"/>
    <n v="29.487309"/>
    <x v="0"/>
    <s v="ZTE"/>
    <x v="0"/>
    <x v="25"/>
  </r>
  <r>
    <s v="ANT-0059"/>
    <x v="12"/>
    <n v="-0.34051900000000002"/>
    <n v="17.079799000000001"/>
    <x v="1"/>
    <s v="Ericsson"/>
    <x v="1"/>
    <x v="26"/>
  </r>
  <r>
    <s v="ANT-0065"/>
    <x v="4"/>
    <n v="1.499457"/>
    <n v="13.876317999999999"/>
    <x v="1"/>
    <s v="Nokia"/>
    <x v="2"/>
    <x v="27"/>
  </r>
  <r>
    <s v="ANT-0066"/>
    <x v="16"/>
    <n v="1.7832440000000001"/>
    <n v="25.477405999999998"/>
    <x v="1"/>
    <s v="Huawei"/>
    <x v="3"/>
    <x v="28"/>
  </r>
  <r>
    <s v="ANT-0070"/>
    <x v="8"/>
    <n v="-10.764815"/>
    <n v="14.602039"/>
    <x v="0"/>
    <s v="Nokia"/>
    <x v="3"/>
    <x v="29"/>
  </r>
  <r>
    <s v="ANT-0071"/>
    <x v="12"/>
    <n v="-12.595355"/>
    <n v="17.897442000000002"/>
    <x v="0"/>
    <s v="Huawei"/>
    <x v="1"/>
    <x v="30"/>
  </r>
  <r>
    <s v="ANT-0075"/>
    <x v="14"/>
    <n v="-8.0800809999999998"/>
    <n v="30.147970999999998"/>
    <x v="1"/>
    <s v="Huawei"/>
    <x v="7"/>
    <x v="31"/>
  </r>
  <r>
    <s v="ANT-0078"/>
    <x v="17"/>
    <n v="-12.141233"/>
    <n v="15.179043999999999"/>
    <x v="1"/>
    <s v="Ericsson"/>
    <x v="1"/>
    <x v="32"/>
  </r>
  <r>
    <s v="ANT-0079"/>
    <x v="18"/>
    <n v="-8.4824669999999998"/>
    <n v="21.897777999999999"/>
    <x v="1"/>
    <s v="Ericsson"/>
    <x v="3"/>
    <x v="33"/>
  </r>
  <r>
    <s v="ANT-0080"/>
    <x v="12"/>
    <n v="0.24202000000000001"/>
    <n v="17.396256999999999"/>
    <x v="0"/>
    <s v="Huawei"/>
    <x v="4"/>
    <x v="34"/>
  </r>
  <r>
    <s v="ANT-0081"/>
    <x v="19"/>
    <n v="-10.577049000000001"/>
    <n v="23.721854"/>
    <x v="0"/>
    <s v="ZTE"/>
    <x v="8"/>
    <x v="35"/>
  </r>
  <r>
    <s v="ANT-0082"/>
    <x v="6"/>
    <n v="-12.776386"/>
    <n v="14.157596"/>
    <x v="2"/>
    <s v="Nokia"/>
    <x v="1"/>
    <x v="36"/>
  </r>
  <r>
    <s v="ANT-0084"/>
    <x v="20"/>
    <n v="2.413557"/>
    <n v="19.690681999999999"/>
    <x v="0"/>
    <s v="Huawei"/>
    <x v="3"/>
    <x v="37"/>
  </r>
  <r>
    <s v="ANT-0086"/>
    <x v="21"/>
    <n v="4.2904629999999999"/>
    <n v="26.354195000000001"/>
    <x v="2"/>
    <s v="Ericsson"/>
    <x v="3"/>
    <x v="38"/>
  </r>
  <r>
    <s v="ANT-0088"/>
    <x v="22"/>
    <n v="-9.7803979999999999"/>
    <n v="17.686595000000001"/>
    <x v="0"/>
    <s v="Ericsson"/>
    <x v="0"/>
    <x v="39"/>
  </r>
  <r>
    <s v="ANT-0089 "/>
    <x v="0"/>
    <n v="-3.2361680000000002"/>
    <n v="13.523237999999999"/>
    <x v="0"/>
    <s v="Huawei"/>
    <x v="9"/>
    <x v="40"/>
  </r>
  <r>
    <s v="ANT-0090"/>
    <x v="14"/>
    <n v="-7.3379339999999997"/>
    <n v="28.404001999999998"/>
    <x v="2"/>
    <s v="Nokia"/>
    <x v="0"/>
    <x v="41"/>
  </r>
  <r>
    <s v="ANT-0091"/>
    <x v="8"/>
    <n v="-4.7886769999999999"/>
    <n v="23.600221999999999"/>
    <x v="2"/>
    <s v="ZTE"/>
    <x v="1"/>
    <x v="37"/>
  </r>
  <r>
    <s v="ANT-0093"/>
    <x v="7"/>
    <n v="2.975352"/>
    <n v="22.535886000000001"/>
    <x v="0"/>
    <s v="Huawei"/>
    <x v="6"/>
    <x v="42"/>
  </r>
  <r>
    <s v="ANT-0094"/>
    <x v="18"/>
    <n v="-10.650321"/>
    <n v="15.917044000000001"/>
    <x v="0"/>
    <s v="Nokia"/>
    <x v="3"/>
    <x v="43"/>
  </r>
  <r>
    <s v="ANT-0096"/>
    <x v="4"/>
    <n v="3.0603760000000002"/>
    <n v="19.708034000000001"/>
    <x v="2"/>
    <s v="ZTE"/>
    <x v="1"/>
    <x v="44"/>
  </r>
  <r>
    <s v="ANT-0099"/>
    <x v="7"/>
    <n v="-11.157245"/>
    <n v="21.262627999999999"/>
    <x v="1"/>
    <s v="ZTE"/>
    <x v="0"/>
    <x v="45"/>
  </r>
  <r>
    <s v="ANT-0101"/>
    <x v="23"/>
    <n v="1.0134879999999999"/>
    <n v="20.363515"/>
    <x v="0"/>
    <s v="Nokia"/>
    <x v="0"/>
    <x v="46"/>
  </r>
  <r>
    <s v="ANT-0103"/>
    <x v="2"/>
    <n v="-0.79459900000000006"/>
    <n v="26.775570999999999"/>
    <x v="1"/>
    <s v="Huawei"/>
    <x v="1"/>
    <x v="47"/>
  </r>
  <r>
    <s v="ANT-0106"/>
    <x v="3"/>
    <n v="-2.2876210000000001"/>
    <n v="27.582545"/>
    <x v="0"/>
    <s v="Huawei"/>
    <x v="6"/>
    <x v="48"/>
  </r>
  <r>
    <s v="ANT-0110"/>
    <x v="24"/>
    <n v="-7.9425049999999997"/>
    <n v="24.111059000000001"/>
    <x v="2"/>
    <s v="ZTE"/>
    <x v="3"/>
    <x v="49"/>
  </r>
  <r>
    <s v="ANT-0112"/>
    <x v="23"/>
    <n v="-7.8417870000000001"/>
    <n v="14.730712"/>
    <x v="1"/>
    <s v="Nokia"/>
    <x v="2"/>
    <x v="50"/>
  </r>
  <r>
    <s v="ANT-0117"/>
    <x v="18"/>
    <n v="1.938083"/>
    <n v="28.25281"/>
    <x v="0"/>
    <s v="Nokia"/>
    <x v="0"/>
    <x v="51"/>
  </r>
  <r>
    <s v="ANT-0120"/>
    <x v="17"/>
    <n v="3.4676979999999999"/>
    <n v="13.459707"/>
    <x v="1"/>
    <s v="Huawei"/>
    <x v="4"/>
    <x v="52"/>
  </r>
  <r>
    <s v="ANT-0121"/>
    <x v="3"/>
    <n v="-7.3952039999999997"/>
    <n v="21.651043999999999"/>
    <x v="0"/>
    <s v="Huawei"/>
    <x v="2"/>
    <x v="53"/>
  </r>
  <r>
    <s v="ANT-0122"/>
    <x v="14"/>
    <n v="1.897178"/>
    <n v="23.902604"/>
    <x v="2"/>
    <s v="Nokia"/>
    <x v="0"/>
    <x v="54"/>
  </r>
  <r>
    <s v="ANT-0123"/>
    <x v="3"/>
    <n v="-1.6893210000000001"/>
    <n v="30.446543999999999"/>
    <x v="0"/>
    <s v="Huawei"/>
    <x v="0"/>
    <x v="55"/>
  </r>
  <r>
    <s v="ANT-0131"/>
    <x v="17"/>
    <n v="-9.3652239999999995"/>
    <n v="22.593423999999999"/>
    <x v="1"/>
    <s v="Nokia"/>
    <x v="0"/>
    <x v="56"/>
  </r>
  <r>
    <s v="ANT-0132"/>
    <x v="20"/>
    <n v="1.2691650000000001"/>
    <n v="18.789956"/>
    <x v="2"/>
    <s v="Nokia"/>
    <x v="2"/>
    <x v="57"/>
  </r>
  <r>
    <s v="ANT-0134"/>
    <x v="25"/>
    <n v="-10.963041"/>
    <n v="12.269857"/>
    <x v="0"/>
    <s v="Huawei"/>
    <x v="0"/>
    <x v="6"/>
  </r>
  <r>
    <s v="ANT-0136"/>
    <x v="21"/>
    <n v="-9.3900009999999998"/>
    <n v="30.001517"/>
    <x v="2"/>
    <s v="Nokia"/>
    <x v="7"/>
    <x v="30"/>
  </r>
  <r>
    <s v="ANT-0138"/>
    <x v="21"/>
    <n v="-3.6233270000000002"/>
    <n v="25.915645999999999"/>
    <x v="2"/>
    <s v="Huawei"/>
    <x v="6"/>
    <x v="58"/>
  </r>
  <r>
    <s v="ANT-0142"/>
    <x v="24"/>
    <n v="-12.229338"/>
    <n v="29.587834999999998"/>
    <x v="0"/>
    <s v="Nokia"/>
    <x v="6"/>
    <x v="59"/>
  </r>
  <r>
    <s v="ANT-0143"/>
    <x v="18"/>
    <n v="4.8228650000000002"/>
    <n v="30.555627000000001"/>
    <x v="0"/>
    <s v="Huawei"/>
    <x v="6"/>
    <x v="60"/>
  </r>
  <r>
    <s v="ANT-0144"/>
    <x v="24"/>
    <n v="-12.824638999999999"/>
    <n v="24.407249"/>
    <x v="1"/>
    <s v="Huawei"/>
    <x v="0"/>
    <x v="61"/>
  </r>
  <r>
    <s v="ANT-0147"/>
    <x v="9"/>
    <n v="4.8689660000000003"/>
    <n v="25.112373000000002"/>
    <x v="2"/>
    <s v="Huawei"/>
    <x v="2"/>
    <x v="57"/>
  </r>
  <r>
    <s v="ANT-0149"/>
    <x v="25"/>
    <n v="-9.8995180000000005"/>
    <n v="24.156687999999999"/>
    <x v="0"/>
    <s v="Ericsson"/>
    <x v="2"/>
    <x v="62"/>
  </r>
  <r>
    <s v="ANT-0150"/>
    <x v="22"/>
    <n v="-1.7476179999999999"/>
    <n v="18.129401000000001"/>
    <x v="0"/>
    <s v="Ericsson"/>
    <x v="2"/>
    <x v="63"/>
  </r>
  <r>
    <s v="ANT-0151"/>
    <x v="7"/>
    <n v="-4.9108280000000004"/>
    <n v="17.670389"/>
    <x v="1"/>
    <s v="ZTE"/>
    <x v="3"/>
    <x v="64"/>
  </r>
  <r>
    <s v="ANT-0153"/>
    <x v="0"/>
    <n v="0.94539899999999999"/>
    <n v="14.401821999999999"/>
    <x v="1"/>
    <s v="Nokia"/>
    <x v="10"/>
    <x v="65"/>
  </r>
  <r>
    <s v="ANT-0154"/>
    <x v="7"/>
    <n v="-10.977309"/>
    <n v="12.408281000000001"/>
    <x v="1"/>
    <s v="ZTE"/>
    <x v="0"/>
    <x v="66"/>
  </r>
  <r>
    <s v="ANT-0159"/>
    <x v="21"/>
    <n v="2.4414509999999998"/>
    <n v="30.167489"/>
    <x v="1"/>
    <s v="Nokia"/>
    <x v="6"/>
    <x v="67"/>
  </r>
  <r>
    <s v="ANT-0160"/>
    <x v="26"/>
    <n v="-8.4875830000000008"/>
    <n v="19.436312000000001"/>
    <x v="1"/>
    <s v="Huawei"/>
    <x v="9"/>
    <x v="40"/>
  </r>
  <r>
    <s v="ANT-0162"/>
    <x v="16"/>
    <n v="-1.648326"/>
    <n v="25.528901999999999"/>
    <x v="0"/>
    <s v="Huawei"/>
    <x v="2"/>
    <x v="68"/>
  </r>
  <r>
    <s v="ANT-0164"/>
    <x v="10"/>
    <n v="-11.389362"/>
    <n v="22.240174"/>
    <x v="1"/>
    <s v="ZTE"/>
    <x v="6"/>
    <x v="69"/>
  </r>
  <r>
    <s v="ANT-0165"/>
    <x v="17"/>
    <n v="-0.54908599999999996"/>
    <n v="14.816867"/>
    <x v="1"/>
    <s v="ZTE"/>
    <x v="0"/>
    <x v="70"/>
  </r>
  <r>
    <s v="ANT-0166"/>
    <x v="17"/>
    <n v="-10.56448"/>
    <n v="19.792876"/>
    <x v="1"/>
    <s v="Ericsson"/>
    <x v="11"/>
    <x v="71"/>
  </r>
  <r>
    <s v="ANT-0170"/>
    <x v="3"/>
    <n v="-12.244119"/>
    <n v="28.279755999999999"/>
    <x v="1"/>
    <s v="ZTE"/>
    <x v="3"/>
    <x v="72"/>
  </r>
  <r>
    <s v="ANT-0171"/>
    <x v="20"/>
    <n v="-3.571288"/>
    <n v="12.931596000000001"/>
    <x v="0"/>
    <s v="Nokia"/>
    <x v="4"/>
    <x v="34"/>
  </r>
  <r>
    <s v="ANT-0172"/>
    <x v="22"/>
    <n v="2.266232"/>
    <n v="29.532896000000001"/>
    <x v="0"/>
    <s v="Ericsson"/>
    <x v="3"/>
    <x v="73"/>
  </r>
  <r>
    <s v="ANT-0174"/>
    <x v="18"/>
    <n v="3.08182"/>
    <n v="29.961940999999999"/>
    <x v="0"/>
    <s v="Huawei"/>
    <x v="0"/>
    <x v="23"/>
  </r>
  <r>
    <s v="ANT-0175"/>
    <x v="18"/>
    <n v="0.850665"/>
    <n v="19.446418000000001"/>
    <x v="0"/>
    <s v="Huawei"/>
    <x v="2"/>
    <x v="74"/>
  </r>
  <r>
    <s v="ANT-0178"/>
    <x v="9"/>
    <n v="4.1464489999999996"/>
    <n v="17.793337000000001"/>
    <x v="1"/>
    <s v="ZTE"/>
    <x v="7"/>
    <x v="75"/>
  </r>
  <r>
    <s v="ANT-0179"/>
    <x v="15"/>
    <n v="0.92885200000000001"/>
    <n v="25.868548000000001"/>
    <x v="1"/>
    <s v="Nokia"/>
    <x v="0"/>
    <x v="56"/>
  </r>
  <r>
    <s v="ANT-0180"/>
    <x v="4"/>
    <n v="2.4425979999999998"/>
    <n v="24.924308"/>
    <x v="1"/>
    <s v="Ericsson"/>
    <x v="0"/>
    <x v="76"/>
  </r>
  <r>
    <s v="ANT-0182"/>
    <x v="22"/>
    <n v="-3.234483"/>
    <n v="13.241939"/>
    <x v="0"/>
    <s v="ZTE"/>
    <x v="0"/>
    <x v="77"/>
  </r>
  <r>
    <s v="ANT-0183"/>
    <x v="25"/>
    <n v="4.8319039999999998"/>
    <n v="20.733468999999999"/>
    <x v="1"/>
    <s v="Ericsson"/>
    <x v="0"/>
    <x v="78"/>
  </r>
  <r>
    <s v="ANT-0184"/>
    <x v="20"/>
    <n v="-10.161428000000001"/>
    <n v="19.362325999999999"/>
    <x v="2"/>
    <s v="Nokia"/>
    <x v="4"/>
    <x v="79"/>
  </r>
  <r>
    <s v="ANT-0185"/>
    <x v="23"/>
    <n v="1.2391989999999999"/>
    <n v="15.386718999999999"/>
    <x v="1"/>
    <s v="ZTE"/>
    <x v="8"/>
    <x v="80"/>
  </r>
  <r>
    <s v="ANT-0187"/>
    <x v="15"/>
    <n v="-6.0234120000000004"/>
    <n v="18.314309999999999"/>
    <x v="1"/>
    <s v="ZTE"/>
    <x v="3"/>
    <x v="53"/>
  </r>
  <r>
    <s v="ANT-0188"/>
    <x v="23"/>
    <n v="-2.5254650000000001"/>
    <n v="21.338113"/>
    <x v="1"/>
    <s v="Nokia"/>
    <x v="5"/>
    <x v="81"/>
  </r>
  <r>
    <s v="ANT-0192"/>
    <x v="19"/>
    <n v="-12.018316"/>
    <n v="16.700451000000001"/>
    <x v="2"/>
    <s v="Nokia"/>
    <x v="4"/>
    <x v="82"/>
  </r>
  <r>
    <s v="ANT-0194"/>
    <x v="0"/>
    <n v="8.5490999999999998E-2"/>
    <n v="26.296129000000001"/>
    <x v="2"/>
    <s v="ZTE"/>
    <x v="6"/>
    <x v="83"/>
  </r>
  <r>
    <s v="ANT-0195"/>
    <x v="17"/>
    <n v="-8.0864899999999995"/>
    <n v="14.555277"/>
    <x v="2"/>
    <s v="Ericsson"/>
    <x v="7"/>
    <x v="84"/>
  </r>
  <r>
    <s v="ANT-0200"/>
    <x v="10"/>
    <n v="1.217457"/>
    <n v="25.48668"/>
    <x v="1"/>
    <s v="Nokia"/>
    <x v="4"/>
    <x v="85"/>
  </r>
  <r>
    <s v="ANT-0202"/>
    <x v="19"/>
    <n v="3.0788669999999998"/>
    <n v="19.513650999999999"/>
    <x v="1"/>
    <s v="Huawei"/>
    <x v="9"/>
    <x v="40"/>
  </r>
  <r>
    <s v="ANT-0205"/>
    <x v="8"/>
    <n v="-1.4110389999999999"/>
    <n v="21.261644"/>
    <x v="0"/>
    <s v="ZTE"/>
    <x v="2"/>
    <x v="86"/>
  </r>
  <r>
    <s v="ANT-0206"/>
    <x v="22"/>
    <n v="4.0157999999999996"/>
    <n v="21.430246"/>
    <x v="1"/>
    <s v="Nokia"/>
    <x v="5"/>
    <x v="87"/>
  </r>
  <r>
    <s v="ANT-0207"/>
    <x v="3"/>
    <n v="0.89302999999999999"/>
    <n v="21.238310999999999"/>
    <x v="1"/>
    <s v="Huawei"/>
    <x v="9"/>
    <x v="40"/>
  </r>
  <r>
    <s v="ANT-0208"/>
    <x v="14"/>
    <n v="0.91016799999999998"/>
    <n v="16.903002999999998"/>
    <x v="2"/>
    <s v="Nokia"/>
    <x v="9"/>
    <x v="40"/>
  </r>
  <r>
    <s v="ANT-0209"/>
    <x v="24"/>
    <n v="-10.481026999999999"/>
    <n v="18.160464000000001"/>
    <x v="1"/>
    <s v="Huawei"/>
    <x v="5"/>
    <x v="13"/>
  </r>
  <r>
    <s v="ANT-0211"/>
    <x v="21"/>
    <n v="-11.514817000000001"/>
    <n v="24.891375"/>
    <x v="2"/>
    <s v="Nokia"/>
    <x v="4"/>
    <x v="88"/>
  </r>
  <r>
    <s v="ANT-0212"/>
    <x v="8"/>
    <n v="3.175935"/>
    <n v="16.862832000000001"/>
    <x v="1"/>
    <s v="Ericsson"/>
    <x v="5"/>
    <x v="89"/>
  </r>
  <r>
    <s v="ANT-0216"/>
    <x v="22"/>
    <n v="3.8811640000000001"/>
    <n v="23.188383999999999"/>
    <x v="1"/>
    <s v="Huawei"/>
    <x v="9"/>
    <x v="40"/>
  </r>
  <r>
    <s v="ANT-0217"/>
    <x v="1"/>
    <n v="2.349755"/>
    <n v="29.600649000000001"/>
    <x v="0"/>
    <s v="Nokia"/>
    <x v="9"/>
    <x v="40"/>
  </r>
  <r>
    <s v="ANT-0218"/>
    <x v="12"/>
    <n v="-5.5883039999999999"/>
    <n v="26.647739999999999"/>
    <x v="2"/>
    <s v="Ericsson"/>
    <x v="9"/>
    <x v="40"/>
  </r>
  <r>
    <s v="ANT-0220"/>
    <x v="21"/>
    <n v="2.7365970000000002"/>
    <n v="12.296976000000001"/>
    <x v="0"/>
    <s v="ZTE"/>
    <x v="9"/>
    <x v="40"/>
  </r>
  <r>
    <s v="ANT-0222 "/>
    <x v="21"/>
    <n v="-6.8779139999999996"/>
    <n v="12.550860999999999"/>
    <x v="1"/>
    <s v="ZTE"/>
    <x v="9"/>
    <x v="40"/>
  </r>
  <r>
    <s v="ANT-0224"/>
    <x v="15"/>
    <n v="-7.9866700000000002"/>
    <n v="17.757847000000002"/>
    <x v="1"/>
    <s v="Huawei"/>
    <x v="5"/>
    <x v="90"/>
  </r>
  <r>
    <s v="ANT-0225"/>
    <x v="23"/>
    <n v="-8.8118569999999998"/>
    <n v="14.465711000000001"/>
    <x v="1"/>
    <s v="Nokia"/>
    <x v="5"/>
    <x v="91"/>
  </r>
  <r>
    <s v="ANT-0226"/>
    <x v="2"/>
    <n v="-7.8215969999999997"/>
    <n v="26.797349000000001"/>
    <x v="2"/>
    <s v="Ericsson"/>
    <x v="5"/>
    <x v="92"/>
  </r>
  <r>
    <s v="ANT-0228"/>
    <x v="17"/>
    <n v="-8.6707929999999998"/>
    <n v="30.643781000000001"/>
    <x v="0"/>
    <s v="Huawei"/>
    <x v="9"/>
    <x v="40"/>
  </r>
  <r>
    <s v="ANT-0229"/>
    <x v="19"/>
    <n v="-1.9540519999999999"/>
    <n v="12.667945"/>
    <x v="0"/>
    <s v="Huawei"/>
    <x v="4"/>
    <x v="93"/>
  </r>
  <r>
    <s v="ANT-0232"/>
    <x v="22"/>
    <n v="2.0392079999999999"/>
    <n v="19.090841999999999"/>
    <x v="0"/>
    <s v="Nokia"/>
    <x v="4"/>
    <x v="62"/>
  </r>
  <r>
    <s v="ANT-0235"/>
    <x v="23"/>
    <n v="4.2873989999999997"/>
    <n v="14.756335"/>
    <x v="1"/>
    <s v="Ericsson"/>
    <x v="9"/>
    <x v="40"/>
  </r>
  <r>
    <s v="ANT-0236"/>
    <x v="1"/>
    <n v="-12.192204"/>
    <n v="28.468682000000001"/>
    <x v="2"/>
    <s v="ZTE"/>
    <x v="5"/>
    <x v="94"/>
  </r>
  <r>
    <s v="ANT-0238"/>
    <x v="20"/>
    <n v="0.62055499999999997"/>
    <n v="21.222035000000002"/>
    <x v="1"/>
    <s v="Nokia"/>
    <x v="4"/>
    <x v="95"/>
  </r>
  <r>
    <s v="ANT-0239"/>
    <x v="15"/>
    <n v="-5.42171"/>
    <n v="24.202960999999998"/>
    <x v="1"/>
    <s v="Ericsson"/>
    <x v="4"/>
    <x v="96"/>
  </r>
  <r>
    <s v="ANT-0240"/>
    <x v="3"/>
    <n v="-0.59350000000000003"/>
    <n v="24.500503999999999"/>
    <x v="1"/>
    <s v="Huawei"/>
    <x v="9"/>
    <x v="40"/>
  </r>
  <r>
    <s v="ANT-0241"/>
    <x v="19"/>
    <n v="-5.7957599999999996"/>
    <n v="14.078258"/>
    <x v="1"/>
    <s v="Ericsson"/>
    <x v="5"/>
    <x v="97"/>
  </r>
  <r>
    <s v="ANT-0245"/>
    <x v="11"/>
    <n v="-9.9875139999999991"/>
    <n v="12.013676999999999"/>
    <x v="2"/>
    <s v="ZTE"/>
    <x v="5"/>
    <x v="98"/>
  </r>
  <r>
    <s v="ANT-0248"/>
    <x v="23"/>
    <n v="-4.4351269999999996"/>
    <n v="24.825467"/>
    <x v="0"/>
    <s v="Huawei"/>
    <x v="4"/>
    <x v="99"/>
  </r>
  <r>
    <s v="ANT-0250"/>
    <x v="18"/>
    <n v="-2.3743210000000001"/>
    <n v="22.399491000000001"/>
    <x v="1"/>
    <s v="Ericsson"/>
    <x v="2"/>
    <x v="100"/>
  </r>
  <r>
    <s v="ANT-0255"/>
    <x v="8"/>
    <n v="-6.4883290000000002"/>
    <n v="25.103404000000001"/>
    <x v="1"/>
    <s v="ZTE"/>
    <x v="5"/>
    <x v="101"/>
  </r>
  <r>
    <s v="ANT-0256"/>
    <x v="12"/>
    <n v="0.82399199999999995"/>
    <n v="28.232678"/>
    <x v="2"/>
    <s v="Huawei"/>
    <x v="9"/>
    <x v="40"/>
  </r>
  <r>
    <s v="ANT-0257"/>
    <x v="21"/>
    <n v="-4.1694589999999998"/>
    <n v="23.376487000000001"/>
    <x v="2"/>
    <s v="Nokia"/>
    <x v="4"/>
    <x v="29"/>
  </r>
  <r>
    <s v="ANT-0258"/>
    <x v="22"/>
    <n v="-11.710407999999999"/>
    <n v="23.741330999999999"/>
    <x v="2"/>
    <s v="Huawei"/>
    <x v="5"/>
    <x v="102"/>
  </r>
  <r>
    <s v="ANT-0260"/>
    <x v="15"/>
    <n v="-6.0850540000000004"/>
    <n v="14.020293000000001"/>
    <x v="1"/>
    <s v="Huawei"/>
    <x v="9"/>
    <x v="40"/>
  </r>
  <r>
    <s v="ANT-0261"/>
    <x v="2"/>
    <n v="-4.5538169999999996"/>
    <n v="25.952860999999999"/>
    <x v="2"/>
    <s v="Ericsson"/>
    <x v="9"/>
    <x v="40"/>
  </r>
  <r>
    <s v="ANT-0264"/>
    <x v="10"/>
    <n v="0.48965500000000001"/>
    <n v="26.176860000000001"/>
    <x v="0"/>
    <s v="Huawei"/>
    <x v="5"/>
    <x v="97"/>
  </r>
  <r>
    <s v="ANT-0265"/>
    <x v="23"/>
    <n v="-6.0864269999999996"/>
    <n v="19.922181999999999"/>
    <x v="1"/>
    <s v="Huawei"/>
    <x v="9"/>
    <x v="40"/>
  </r>
  <r>
    <s v="ANT-0267"/>
    <x v="22"/>
    <n v="-2.6166320000000001"/>
    <n v="23.743941"/>
    <x v="1"/>
    <s v="Nokia"/>
    <x v="9"/>
    <x v="40"/>
  </r>
  <r>
    <s v="ANT-0268"/>
    <x v="11"/>
    <n v="-9.5619429999999994"/>
    <n v="21.445726000000001"/>
    <x v="0"/>
    <s v="Nokia"/>
    <x v="4"/>
    <x v="103"/>
  </r>
  <r>
    <s v="ANT-0270"/>
    <x v="14"/>
    <n v="-1.648264"/>
    <n v="28.866143999999998"/>
    <x v="1"/>
    <s v="Ericsson"/>
    <x v="4"/>
    <x v="89"/>
  </r>
  <r>
    <s v="ANT-0271"/>
    <x v="19"/>
    <n v="-5.1030600000000002"/>
    <n v="22.849231"/>
    <x v="1"/>
    <s v="ZTE"/>
    <x v="4"/>
    <x v="104"/>
  </r>
  <r>
    <s v="ANT-0272"/>
    <x v="16"/>
    <n v="-2.1430220000000002"/>
    <n v="24.541492999999999"/>
    <x v="0"/>
    <s v="ZTE"/>
    <x v="9"/>
    <x v="40"/>
  </r>
  <r>
    <s v="ANT-0276"/>
    <x v="8"/>
    <n v="-0.157111"/>
    <n v="25.415125"/>
    <x v="0"/>
    <s v="Ericsson"/>
    <x v="5"/>
    <x v="105"/>
  </r>
  <r>
    <s v="ANT-0277"/>
    <x v="0"/>
    <n v="-6.8149179999999996"/>
    <n v="23.258102000000001"/>
    <x v="1"/>
    <s v="Huawei"/>
    <x v="5"/>
    <x v="106"/>
  </r>
  <r>
    <s v="ANT-0281"/>
    <x v="17"/>
    <n v="-10.620597"/>
    <n v="12.432214"/>
    <x v="0"/>
    <s v="Huawei"/>
    <x v="9"/>
    <x v="40"/>
  </r>
  <r>
    <s v="ANT-0282"/>
    <x v="15"/>
    <n v="-10.25074"/>
    <n v="26.099086"/>
    <x v="0"/>
    <s v="Huawei"/>
    <x v="0"/>
    <x v="107"/>
  </r>
  <r>
    <s v="ANT-0283"/>
    <x v="10"/>
    <n v="-1.6097570000000001"/>
    <n v="30.661662"/>
    <x v="0"/>
    <s v="Ericsson"/>
    <x v="4"/>
    <x v="108"/>
  </r>
  <r>
    <s v="ANT-0284"/>
    <x v="6"/>
    <n v="-5.5445120000000001"/>
    <n v="27.547335"/>
    <x v="0"/>
    <s v="Ericsson"/>
    <x v="3"/>
    <x v="109"/>
  </r>
  <r>
    <s v="ANT-0287"/>
    <x v="19"/>
    <n v="-11.622688999999999"/>
    <n v="18.483874"/>
    <x v="1"/>
    <s v="ZTE"/>
    <x v="4"/>
    <x v="110"/>
  </r>
  <r>
    <s v="ANT-0288"/>
    <x v="4"/>
    <n v="1.400674"/>
    <n v="13.503126999999999"/>
    <x v="1"/>
    <s v="ZTE"/>
    <x v="5"/>
    <x v="98"/>
  </r>
  <r>
    <s v="ANT-0291"/>
    <x v="4"/>
    <n v="2.6387339999999999"/>
    <n v="13.769399"/>
    <x v="0"/>
    <s v="Huawei"/>
    <x v="9"/>
    <x v="40"/>
  </r>
  <r>
    <s v="ANT-0292"/>
    <x v="3"/>
    <n v="-6.4197189999999997"/>
    <n v="22.287264"/>
    <x v="2"/>
    <s v="Ericsson"/>
    <x v="2"/>
    <x v="111"/>
  </r>
  <r>
    <s v="ANT-0293"/>
    <x v="11"/>
    <n v="-5.7035130000000001"/>
    <n v="14.331479"/>
    <x v="1"/>
    <s v="Nokia"/>
    <x v="4"/>
    <x v="85"/>
  </r>
  <r>
    <s v="ANT-0294"/>
    <x v="16"/>
    <n v="-4.3639070000000002"/>
    <n v="16.283307000000001"/>
    <x v="1"/>
    <s v="Huawei"/>
    <x v="5"/>
    <x v="112"/>
  </r>
  <r>
    <s v="ANT-0295"/>
    <x v="9"/>
    <n v="-4.351254"/>
    <n v="30.097408999999999"/>
    <x v="1"/>
    <s v="Nokia"/>
    <x v="4"/>
    <x v="113"/>
  </r>
  <r>
    <s v="ANT-0298"/>
    <x v="16"/>
    <n v="-5.4073029999999997"/>
    <n v="29.762294000000001"/>
    <x v="2"/>
    <s v="Ericsson"/>
    <x v="4"/>
    <x v="112"/>
  </r>
  <r>
    <s v="ANT-0302"/>
    <x v="18"/>
    <n v="-4.6818410000000004"/>
    <n v="17.541618"/>
    <x v="0"/>
    <s v="Ericsson"/>
    <x v="4"/>
    <x v="114"/>
  </r>
  <r>
    <s v="ANT-0315"/>
    <x v="2"/>
    <n v="4.9250049999999996"/>
    <n v="19.887931999999999"/>
    <x v="0"/>
    <s v="Huawei"/>
    <x v="5"/>
    <x v="115"/>
  </r>
  <r>
    <s v="ANT-0322"/>
    <x v="3"/>
    <n v="2.0859640000000002"/>
    <n v="22.576664000000001"/>
    <x v="0"/>
    <s v="ZTE"/>
    <x v="9"/>
    <x v="40"/>
  </r>
  <r>
    <s v="ANT-0323"/>
    <x v="19"/>
    <n v="-6.1126060000000004"/>
    <n v="27.901748999999999"/>
    <x v="0"/>
    <s v="ZTE"/>
    <x v="9"/>
    <x v="40"/>
  </r>
  <r>
    <s v="ANT-0324"/>
    <x v="7"/>
    <n v="2.3260149999999999"/>
    <n v="24.97465"/>
    <x v="2"/>
    <s v="Nokia"/>
    <x v="9"/>
    <x v="40"/>
  </r>
  <r>
    <s v="ANT-0332"/>
    <x v="9"/>
    <n v="-4.9789079999999997"/>
    <n v="28.506295000000001"/>
    <x v="0"/>
    <s v="Huawei"/>
    <x v="4"/>
    <x v="116"/>
  </r>
  <r>
    <s v="ANT-0339"/>
    <x v="3"/>
    <n v="-3.6945459999999999"/>
    <n v="16.809108999999999"/>
    <x v="1"/>
    <s v="ZTE"/>
    <x v="3"/>
    <x v="117"/>
  </r>
  <r>
    <s v="ANT-0347"/>
    <x v="8"/>
    <n v="3.6466850000000002"/>
    <n v="15.408844"/>
    <x v="2"/>
    <s v="ZTE"/>
    <x v="9"/>
    <x v="40"/>
  </r>
  <r>
    <s v="ANT-0348"/>
    <x v="21"/>
    <n v="0.31740800000000002"/>
    <n v="27.197666999999999"/>
    <x v="1"/>
    <s v="Nokia"/>
    <x v="5"/>
    <x v="98"/>
  </r>
  <r>
    <s v="ANT-0349"/>
    <x v="17"/>
    <n v="-2.7775059999999998"/>
    <n v="24.139983999999998"/>
    <x v="2"/>
    <s v="Ericsson"/>
    <x v="9"/>
    <x v="40"/>
  </r>
  <r>
    <s v="ANT-0351"/>
    <x v="18"/>
    <n v="3.0053459999999999"/>
    <n v="13.765407"/>
    <x v="1"/>
    <s v="Ericsson"/>
    <x v="9"/>
    <x v="40"/>
  </r>
  <r>
    <s v="ANT-0352"/>
    <x v="14"/>
    <n v="3.4689049999999999"/>
    <n v="18.19622"/>
    <x v="1"/>
    <s v="Huawei"/>
    <x v="9"/>
    <x v="40"/>
  </r>
  <r>
    <s v="ANT-0353"/>
    <x v="10"/>
    <n v="-11.991020000000001"/>
    <n v="22.514747"/>
    <x v="1"/>
    <s v="ZTE"/>
    <x v="4"/>
    <x v="94"/>
  </r>
  <r>
    <s v="ANT-0354"/>
    <x v="22"/>
    <n v="-6.7304589999999997"/>
    <n v="24.541906999999998"/>
    <x v="0"/>
    <s v="Nokia"/>
    <x v="9"/>
    <x v="40"/>
  </r>
  <r>
    <s v="ANT-0356"/>
    <x v="16"/>
    <n v="0.114899"/>
    <n v="30.510916000000002"/>
    <x v="2"/>
    <s v="Nokia"/>
    <x v="9"/>
    <x v="40"/>
  </r>
  <r>
    <s v="ANT-0357"/>
    <x v="24"/>
    <n v="-11.793894"/>
    <n v="20.433340999999999"/>
    <x v="1"/>
    <s v="Nokia"/>
    <x v="4"/>
    <x v="118"/>
  </r>
  <r>
    <s v="ANT-0359"/>
    <x v="17"/>
    <n v="1.3657680000000001"/>
    <n v="21.423017000000002"/>
    <x v="1"/>
    <s v="Ericsson"/>
    <x v="9"/>
    <x v="40"/>
  </r>
  <r>
    <s v="ANT-0362"/>
    <x v="10"/>
    <n v="-0.90854400000000002"/>
    <n v="17.154896999999998"/>
    <x v="2"/>
    <s v="Huawei"/>
    <x v="5"/>
    <x v="119"/>
  </r>
  <r>
    <s v="ANT-0363"/>
    <x v="20"/>
    <n v="5.3608999999999997E-2"/>
    <n v="28.346852999999999"/>
    <x v="2"/>
    <s v="ZTE"/>
    <x v="5"/>
    <x v="120"/>
  </r>
  <r>
    <s v="ANT-0365"/>
    <x v="14"/>
    <n v="-11.055339999999999"/>
    <n v="21.627016000000001"/>
    <x v="1"/>
    <s v="Nokia"/>
    <x v="9"/>
    <x v="40"/>
  </r>
  <r>
    <s v="ANT-0368"/>
    <x v="7"/>
    <n v="1.2463919999999999"/>
    <n v="13.266916999999999"/>
    <x v="1"/>
    <s v="Huawei"/>
    <x v="5"/>
    <x v="110"/>
  </r>
  <r>
    <s v="ANT-0369"/>
    <x v="0"/>
    <n v="-12.411144999999999"/>
    <n v="29.876642"/>
    <x v="0"/>
    <s v="Ericsson"/>
    <x v="9"/>
    <x v="40"/>
  </r>
  <r>
    <s v="ANT-0370"/>
    <x v="13"/>
    <n v="-7.6951369999999999"/>
    <n v="13.346605"/>
    <x v="0"/>
    <s v="Ericsson"/>
    <x v="5"/>
    <x v="89"/>
  </r>
  <r>
    <s v="ANT-0371"/>
    <x v="5"/>
    <n v="-12.112682"/>
    <n v="19.972052000000001"/>
    <x v="0"/>
    <s v="Huawei"/>
    <x v="4"/>
    <x v="121"/>
  </r>
  <r>
    <s v="ANT-0373"/>
    <x v="25"/>
    <n v="-9.0798120000000004"/>
    <n v="14.945484"/>
    <x v="1"/>
    <s v="Ericsson"/>
    <x v="4"/>
    <x v="122"/>
  </r>
  <r>
    <s v="ANT-0375"/>
    <x v="1"/>
    <n v="-4.9552579999999997"/>
    <n v="22.008103999999999"/>
    <x v="0"/>
    <s v="Huawei"/>
    <x v="5"/>
    <x v="123"/>
  </r>
  <r>
    <s v="ANT-0379"/>
    <x v="14"/>
    <n v="-9.5266249999999992"/>
    <n v="27.889690999999999"/>
    <x v="0"/>
    <s v="Ericsson"/>
    <x v="5"/>
    <x v="124"/>
  </r>
  <r>
    <s v="ANT-0380"/>
    <x v="25"/>
    <n v="-11.591777"/>
    <n v="21.213452"/>
    <x v="1"/>
    <s v="Ericsson"/>
    <x v="9"/>
    <x v="40"/>
  </r>
  <r>
    <s v="ANT-0381"/>
    <x v="3"/>
    <n v="4.497306"/>
    <n v="12.857251"/>
    <x v="1"/>
    <s v="Ericsson"/>
    <x v="5"/>
    <x v="125"/>
  </r>
  <r>
    <s v="ANT-0385"/>
    <x v="2"/>
    <n v="-1.762294"/>
    <n v="29.617228000000001"/>
    <x v="0"/>
    <s v="ZTE"/>
    <x v="9"/>
    <x v="40"/>
  </r>
  <r>
    <s v="ANT-0386"/>
    <x v="25"/>
    <n v="-10.653247"/>
    <n v="14.685601"/>
    <x v="0"/>
    <s v="Ericsson"/>
    <x v="5"/>
    <x v="126"/>
  </r>
  <r>
    <s v="ANT-0387"/>
    <x v="1"/>
    <n v="-7.5641280000000002"/>
    <n v="18.129529999999999"/>
    <x v="2"/>
    <s v="Huawei"/>
    <x v="5"/>
    <x v="123"/>
  </r>
  <r>
    <s v="ANT-0388"/>
    <x v="7"/>
    <n v="-2.9326690000000002"/>
    <n v="12.349382"/>
    <x v="1"/>
    <s v="ZTE"/>
    <x v="9"/>
    <x v="40"/>
  </r>
  <r>
    <s v="ANT-0391"/>
    <x v="24"/>
    <n v="-1.5936220000000001"/>
    <n v="14.928856"/>
    <x v="1"/>
    <s v="Ericsson"/>
    <x v="5"/>
    <x v="127"/>
  </r>
  <r>
    <s v="ANT-0392"/>
    <x v="23"/>
    <n v="-1.013558"/>
    <n v="17.346937"/>
    <x v="1"/>
    <s v="Huawei"/>
    <x v="5"/>
    <x v="128"/>
  </r>
  <r>
    <s v="ANT-0394"/>
    <x v="17"/>
    <n v="-10.611184"/>
    <n v="23.022268"/>
    <x v="1"/>
    <s v="ZTE"/>
    <x v="5"/>
    <x v="116"/>
  </r>
  <r>
    <s v="ANT-0395"/>
    <x v="16"/>
    <n v="-9.2227779999999999"/>
    <n v="20.940372"/>
    <x v="2"/>
    <s v="Ericsson"/>
    <x v="9"/>
    <x v="40"/>
  </r>
  <r>
    <s v="ANT-0398"/>
    <x v="5"/>
    <n v="-0.45332"/>
    <n v="29.674009999999999"/>
    <x v="1"/>
    <s v="Ericsson"/>
    <x v="9"/>
    <x v="40"/>
  </r>
  <r>
    <s v="ANT-0399"/>
    <x v="25"/>
    <n v="3.524343"/>
    <n v="27.340824000000001"/>
    <x v="0"/>
    <s v="Ericsson"/>
    <x v="9"/>
    <x v="40"/>
  </r>
  <r>
    <s v="ANT-0402"/>
    <x v="0"/>
    <n v="-11.588665000000001"/>
    <n v="15.241552"/>
    <x v="0"/>
    <s v="Nokia"/>
    <x v="5"/>
    <x v="129"/>
  </r>
  <r>
    <s v="ANT-0405"/>
    <x v="7"/>
    <n v="2.8552499999999998"/>
    <n v="14.077933"/>
    <x v="0"/>
    <s v="ZTE"/>
    <x v="5"/>
    <x v="88"/>
  </r>
  <r>
    <s v="ANT-0407"/>
    <x v="18"/>
    <n v="2.5458379999999998"/>
    <n v="13.308655"/>
    <x v="1"/>
    <s v="ZTE"/>
    <x v="4"/>
    <x v="130"/>
  </r>
  <r>
    <s v="ANT-0408"/>
    <x v="15"/>
    <n v="1.1800139999999999"/>
    <n v="20.334562999999999"/>
    <x v="2"/>
    <s v="ZTE"/>
    <x v="9"/>
    <x v="40"/>
  </r>
  <r>
    <s v="ANT-0409"/>
    <x v="5"/>
    <n v="-8.3575920000000004"/>
    <n v="25.538395000000001"/>
    <x v="2"/>
    <s v="ZTE"/>
    <x v="9"/>
    <x v="40"/>
  </r>
  <r>
    <s v="ANT-0410"/>
    <x v="12"/>
    <n v="1.178453"/>
    <n v="17.479081000000001"/>
    <x v="2"/>
    <s v="Ericsson"/>
    <x v="9"/>
    <x v="40"/>
  </r>
  <r>
    <s v="ANT-0411"/>
    <x v="19"/>
    <n v="-2.571777"/>
    <n v="12.120642"/>
    <x v="2"/>
    <s v="Huawei"/>
    <x v="5"/>
    <x v="131"/>
  </r>
  <r>
    <s v="ANT-0414"/>
    <x v="10"/>
    <n v="-7.5418399999999997"/>
    <n v="16.931206"/>
    <x v="2"/>
    <s v="Nokia"/>
    <x v="4"/>
    <x v="132"/>
  </r>
  <r>
    <s v="ANT-0415"/>
    <x v="21"/>
    <n v="-2.9651529999999999"/>
    <n v="29.79908"/>
    <x v="0"/>
    <s v="Ericsson"/>
    <x v="4"/>
    <x v="133"/>
  </r>
  <r>
    <s v="ANT-0416"/>
    <x v="17"/>
    <n v="-11.387295999999999"/>
    <n v="19.384257999999999"/>
    <x v="2"/>
    <s v="Huawei"/>
    <x v="4"/>
    <x v="134"/>
  </r>
  <r>
    <s v="ANT-0417"/>
    <x v="19"/>
    <n v="-2.3677800000000002"/>
    <n v="18.790323999999998"/>
    <x v="1"/>
    <s v="Huawei"/>
    <x v="4"/>
    <x v="135"/>
  </r>
  <r>
    <s v="ANT-0419"/>
    <x v="17"/>
    <n v="3.611561"/>
    <n v="17.725974999999998"/>
    <x v="2"/>
    <s v="ZTE"/>
    <x v="5"/>
    <x v="136"/>
  </r>
  <r>
    <s v="ANT-0421"/>
    <x v="15"/>
    <n v="-4.884055"/>
    <n v="23.40194"/>
    <x v="2"/>
    <s v="Ericsson"/>
    <x v="9"/>
    <x v="40"/>
  </r>
  <r>
    <s v="ANT-0423"/>
    <x v="5"/>
    <n v="-1.3938550000000001"/>
    <n v="15.097554000000001"/>
    <x v="0"/>
    <s v="Huawei"/>
    <x v="4"/>
    <x v="137"/>
  </r>
  <r>
    <s v="ANT-0424"/>
    <x v="22"/>
    <n v="-9.5243310000000001"/>
    <n v="30.541212000000002"/>
    <x v="2"/>
    <s v="Ericsson"/>
    <x v="2"/>
    <x v="103"/>
  </r>
  <r>
    <s v="ANT-0425"/>
    <x v="23"/>
    <n v="-1.9635830000000001"/>
    <n v="15.854182"/>
    <x v="2"/>
    <s v="Nokia"/>
    <x v="9"/>
    <x v="40"/>
  </r>
  <r>
    <s v="ANT-0430"/>
    <x v="20"/>
    <n v="-10.939712999999999"/>
    <n v="18.276230999999999"/>
    <x v="0"/>
    <s v="ZTE"/>
    <x v="4"/>
    <x v="104"/>
  </r>
  <r>
    <s v="ANT-0431"/>
    <x v="1"/>
    <n v="-4.6311460000000002"/>
    <n v="25.314723000000001"/>
    <x v="0"/>
    <s v="Huawei"/>
    <x v="5"/>
    <x v="81"/>
  </r>
  <r>
    <s v="ANT-0434"/>
    <x v="24"/>
    <n v="3.1362930000000002"/>
    <n v="16.190878000000001"/>
    <x v="2"/>
    <s v="Nokia"/>
    <x v="5"/>
    <x v="138"/>
  </r>
  <r>
    <s v="ANT-0436"/>
    <x v="4"/>
    <n v="-4.5603610000000003"/>
    <n v="24.113918999999999"/>
    <x v="1"/>
    <s v="ZTE"/>
    <x v="4"/>
    <x v="114"/>
  </r>
  <r>
    <s v="ANT-0437"/>
    <x v="10"/>
    <n v="-1.339734"/>
    <n v="15.243098"/>
    <x v="2"/>
    <s v="Nokia"/>
    <x v="5"/>
    <x v="139"/>
  </r>
  <r>
    <s v="ANT-0440"/>
    <x v="12"/>
    <n v="0.35034999999999999"/>
    <n v="13.603628"/>
    <x v="1"/>
    <s v="ZTE"/>
    <x v="9"/>
    <x v="40"/>
  </r>
  <r>
    <s v="ANT-0441"/>
    <x v="21"/>
    <n v="-5.2526849999999996"/>
    <n v="12.374528"/>
    <x v="2"/>
    <s v="Nokia"/>
    <x v="2"/>
    <x v="50"/>
  </r>
  <r>
    <s v="ANT-0442"/>
    <x v="19"/>
    <n v="4.7060310000000003"/>
    <n v="27.348973000000001"/>
    <x v="0"/>
    <s v="Huawei"/>
    <x v="9"/>
    <x v="40"/>
  </r>
  <r>
    <s v="ANT-0446"/>
    <x v="22"/>
    <n v="1.286548"/>
    <n v="29.823702999999998"/>
    <x v="0"/>
    <s v="ZTE"/>
    <x v="4"/>
    <x v="140"/>
  </r>
  <r>
    <s v="ANT-0450"/>
    <x v="14"/>
    <n v="-12.560556999999999"/>
    <n v="13.204014000000001"/>
    <x v="0"/>
    <s v="Ericsson"/>
    <x v="5"/>
    <x v="141"/>
  </r>
  <r>
    <s v="ANT-0451"/>
    <x v="2"/>
    <n v="-5.0402180000000003"/>
    <n v="13.892471"/>
    <x v="2"/>
    <s v="ZTE"/>
    <x v="5"/>
    <x v="114"/>
  </r>
  <r>
    <s v="ANT-0454"/>
    <x v="15"/>
    <n v="1.8103860000000001"/>
    <n v="15.175582"/>
    <x v="2"/>
    <s v="Huawei"/>
    <x v="5"/>
    <x v="96"/>
  </r>
  <r>
    <s v="ANT-0457"/>
    <x v="15"/>
    <n v="-6.3148239999999998"/>
    <n v="24.507498999999999"/>
    <x v="2"/>
    <s v="ZTE"/>
    <x v="5"/>
    <x v="142"/>
  </r>
  <r>
    <s v="ANT-0458"/>
    <x v="20"/>
    <n v="-0.98830399999999996"/>
    <n v="28.099966999999999"/>
    <x v="2"/>
    <s v="Huawei"/>
    <x v="5"/>
    <x v="143"/>
  </r>
  <r>
    <s v="ANT-0460"/>
    <x v="25"/>
    <n v="-4.2975050000000001"/>
    <n v="29.162555999999999"/>
    <x v="1"/>
    <s v="Ericsson"/>
    <x v="9"/>
    <x v="40"/>
  </r>
  <r>
    <s v="ANT-0465"/>
    <x v="24"/>
    <n v="-11.144149000000001"/>
    <n v="27.244658999999999"/>
    <x v="0"/>
    <s v="Nokia"/>
    <x v="4"/>
    <x v="144"/>
  </r>
  <r>
    <s v="ANT-0466"/>
    <x v="5"/>
    <n v="-9.6407190000000007"/>
    <n v="21.336704999999998"/>
    <x v="0"/>
    <s v="ZTE"/>
    <x v="5"/>
    <x v="145"/>
  </r>
  <r>
    <s v="ANT-0470"/>
    <x v="15"/>
    <n v="-8.9586360000000003"/>
    <n v="17.157720000000001"/>
    <x v="2"/>
    <s v="Nokia"/>
    <x v="5"/>
    <x v="146"/>
  </r>
  <r>
    <s v="ANT-0472"/>
    <x v="21"/>
    <n v="1.2419519999999999"/>
    <n v="25.261382999999999"/>
    <x v="0"/>
    <s v="Huawei"/>
    <x v="4"/>
    <x v="147"/>
  </r>
  <r>
    <s v="ANT-0476"/>
    <x v="23"/>
    <n v="-8.4403710000000007"/>
    <n v="17.231165000000001"/>
    <x v="0"/>
    <s v="Huawei"/>
    <x v="9"/>
    <x v="40"/>
  </r>
  <r>
    <s v="ANT-0481"/>
    <x v="7"/>
    <n v="-9.5840350000000001"/>
    <n v="15.966024000000001"/>
    <x v="1"/>
    <s v="Nokia"/>
    <x v="5"/>
    <x v="148"/>
  </r>
  <r>
    <s v="ANT-0482"/>
    <x v="24"/>
    <n v="-8.290025"/>
    <n v="24.313573999999999"/>
    <x v="0"/>
    <s v="Ericsson"/>
    <x v="9"/>
    <x v="40"/>
  </r>
  <r>
    <s v="ANT-0483"/>
    <x v="11"/>
    <n v="-7.4135429999999998"/>
    <n v="19.288392999999999"/>
    <x v="0"/>
    <s v="Nokia"/>
    <x v="9"/>
    <x v="40"/>
  </r>
  <r>
    <s v="ANT-0484"/>
    <x v="11"/>
    <n v="-7.8770429999999996"/>
    <n v="16.357762999999998"/>
    <x v="0"/>
    <s v="Ericsson"/>
    <x v="5"/>
    <x v="88"/>
  </r>
  <r>
    <s v="ANT-0488"/>
    <x v="14"/>
    <n v="-3.111418"/>
    <n v="14.144854"/>
    <x v="0"/>
    <s v="ZTE"/>
    <x v="2"/>
    <x v="149"/>
  </r>
  <r>
    <s v="ANT-0489"/>
    <x v="23"/>
    <n v="0.20866199999999999"/>
    <n v="18.556439000000001"/>
    <x v="0"/>
    <s v="Nokia"/>
    <x v="5"/>
    <x v="150"/>
  </r>
  <r>
    <s v="ANT-0491"/>
    <x v="12"/>
    <n v="-10.962911"/>
    <n v="28.771355"/>
    <x v="1"/>
    <s v="Huawei"/>
    <x v="9"/>
    <x v="40"/>
  </r>
  <r>
    <s v="ANT-0494"/>
    <x v="7"/>
    <n v="-12.564277000000001"/>
    <n v="28.480798"/>
    <x v="1"/>
    <s v="ZTE"/>
    <x v="4"/>
    <x v="151"/>
  </r>
  <r>
    <s v="ANT-0495"/>
    <x v="12"/>
    <n v="-4.1938139999999997"/>
    <n v="27.892115"/>
    <x v="1"/>
    <s v="Ericsson"/>
    <x v="9"/>
    <x v="40"/>
  </r>
  <r>
    <s v="ANT-0496"/>
    <x v="5"/>
    <n v="-0.37609300000000001"/>
    <n v="21.940809999999999"/>
    <x v="1"/>
    <s v="Huawei"/>
    <x v="9"/>
    <x v="40"/>
  </r>
  <r>
    <s v="ANT-0499"/>
    <x v="13"/>
    <n v="-7.2267089999999996"/>
    <n v="28.421362999999999"/>
    <x v="1"/>
    <s v="Ericsson"/>
    <x v="5"/>
    <x v="133"/>
  </r>
  <r>
    <s v="ANT-0500"/>
    <x v="22"/>
    <n v="1.194113"/>
    <n v="15.839502"/>
    <x v="2"/>
    <s v="Huawei"/>
    <x v="9"/>
    <x v="40"/>
  </r>
  <r>
    <s v="ANT-0503"/>
    <x v="23"/>
    <n v="-1.8045979999999999"/>
    <n v="12.511096999999999"/>
    <x v="2"/>
    <s v="Huawei"/>
    <x v="3"/>
    <x v="152"/>
  </r>
  <r>
    <s v="ANT-0505"/>
    <x v="21"/>
    <n v="-11.207139"/>
    <n v="18.702511999999999"/>
    <x v="1"/>
    <s v="Ericsson"/>
    <x v="5"/>
    <x v="106"/>
  </r>
  <r>
    <s v="ANT-0507"/>
    <x v="3"/>
    <n v="0.45116099999999998"/>
    <n v="17.265761000000001"/>
    <x v="0"/>
    <s v="Huawei"/>
    <x v="5"/>
    <x v="153"/>
  </r>
  <r>
    <s v="ANT-0511"/>
    <x v="5"/>
    <n v="1.210869"/>
    <n v="25.598741"/>
    <x v="0"/>
    <s v="Ericsson"/>
    <x v="2"/>
    <x v="106"/>
  </r>
  <r>
    <s v="ANT-0514"/>
    <x v="24"/>
    <n v="-1.50664"/>
    <n v="27.795642000000001"/>
    <x v="1"/>
    <s v="ZTE"/>
    <x v="5"/>
    <x v="114"/>
  </r>
  <r>
    <s v="ANT-0515"/>
    <x v="22"/>
    <n v="-10.967288"/>
    <n v="17.617781000000001"/>
    <x v="0"/>
    <s v="Ericsson"/>
    <x v="2"/>
    <x v="154"/>
  </r>
  <r>
    <s v="ANT-0516"/>
    <x v="6"/>
    <n v="-9.9170499999999997"/>
    <n v="22.918887000000002"/>
    <x v="0"/>
    <s v="Huawei"/>
    <x v="9"/>
    <x v="40"/>
  </r>
  <r>
    <s v="ANT-0517"/>
    <x v="8"/>
    <n v="-8.0922239999999999"/>
    <n v="15.483708"/>
    <x v="1"/>
    <s v="Nokia"/>
    <x v="5"/>
    <x v="155"/>
  </r>
  <r>
    <s v="ANT-0519"/>
    <x v="25"/>
    <n v="-6.236097"/>
    <n v="13.004878"/>
    <x v="0"/>
    <s v="Ericsson"/>
    <x v="9"/>
    <x v="40"/>
  </r>
  <r>
    <s v="ANT-0520"/>
    <x v="11"/>
    <n v="-8.4227860000000003"/>
    <n v="16.781293000000002"/>
    <x v="0"/>
    <s v="Huawei"/>
    <x v="4"/>
    <x v="156"/>
  </r>
  <r>
    <s v="ANT-0521"/>
    <x v="18"/>
    <n v="-10.318835"/>
    <n v="21.252382000000001"/>
    <x v="0"/>
    <s v="Ericsson"/>
    <x v="5"/>
    <x v="97"/>
  </r>
  <r>
    <s v="ANT-0523"/>
    <x v="6"/>
    <n v="-9.4229749999999992"/>
    <n v="29.375005999999999"/>
    <x v="2"/>
    <s v="Ericsson"/>
    <x v="5"/>
    <x v="122"/>
  </r>
  <r>
    <s v="ANT-0524"/>
    <x v="20"/>
    <n v="-7.402336"/>
    <n v="27.376697"/>
    <x v="0"/>
    <s v="Huawei"/>
    <x v="2"/>
    <x v="104"/>
  </r>
  <r>
    <s v="ANT-0525"/>
    <x v="13"/>
    <n v="-6.9254999999999997E-2"/>
    <n v="28.222756"/>
    <x v="1"/>
    <s v="Huawei"/>
    <x v="9"/>
    <x v="40"/>
  </r>
  <r>
    <s v="ANT-0526"/>
    <x v="4"/>
    <n v="-9.4133639999999996"/>
    <n v="15.682482"/>
    <x v="0"/>
    <s v="Huawei"/>
    <x v="5"/>
    <x v="157"/>
  </r>
  <r>
    <s v="ANT-0527"/>
    <x v="14"/>
    <n v="-4.4451280000000004"/>
    <n v="16.536944999999999"/>
    <x v="0"/>
    <s v="Ericsson"/>
    <x v="4"/>
    <x v="158"/>
  </r>
  <r>
    <s v="ANT-0529"/>
    <x v="13"/>
    <n v="3.6344850000000002"/>
    <n v="12.158348999999999"/>
    <x v="1"/>
    <s v="Ericsson"/>
    <x v="5"/>
    <x v="159"/>
  </r>
  <r>
    <s v="ANT-0530"/>
    <x v="20"/>
    <n v="-8.5675749999999997"/>
    <n v="26.994581"/>
    <x v="2"/>
    <s v="Nokia"/>
    <x v="2"/>
    <x v="160"/>
  </r>
  <r>
    <s v="ANT-0531"/>
    <x v="18"/>
    <n v="-4.2645619999999997"/>
    <n v="18.960726000000001"/>
    <x v="0"/>
    <s v="Huawei"/>
    <x v="4"/>
    <x v="161"/>
  </r>
  <r>
    <s v="ANT-0533"/>
    <x v="11"/>
    <n v="4.8265669999999998"/>
    <n v="28.535277000000001"/>
    <x v="2"/>
    <s v="Huawei"/>
    <x v="4"/>
    <x v="162"/>
  </r>
  <r>
    <s v="ANT-0534"/>
    <x v="24"/>
    <n v="-9.002459"/>
    <n v="25.182109000000001"/>
    <x v="1"/>
    <s v="Huawei"/>
    <x v="4"/>
    <x v="163"/>
  </r>
  <r>
    <s v="ANT-0535"/>
    <x v="12"/>
    <n v="1.019657"/>
    <n v="16.963799000000002"/>
    <x v="2"/>
    <s v="Nokia"/>
    <x v="9"/>
    <x v="40"/>
  </r>
  <r>
    <s v="ANT-0536"/>
    <x v="4"/>
    <n v="-0.919767"/>
    <n v="18.905538"/>
    <x v="1"/>
    <s v="Ericsson"/>
    <x v="5"/>
    <x v="68"/>
  </r>
  <r>
    <s v="ANT-0543"/>
    <x v="6"/>
    <n v="-4.4958720000000003"/>
    <n v="18.514112000000001"/>
    <x v="0"/>
    <s v="Nokia"/>
    <x v="4"/>
    <x v="164"/>
  </r>
  <r>
    <s v="ANT-0545"/>
    <x v="10"/>
    <n v="-2.6665070000000002"/>
    <n v="18.623692999999999"/>
    <x v="2"/>
    <s v="ZTE"/>
    <x v="4"/>
    <x v="165"/>
  </r>
  <r>
    <s v="ANT-0549"/>
    <x v="1"/>
    <n v="-0.47411900000000001"/>
    <n v="27.184329000000002"/>
    <x v="1"/>
    <s v="ZTE"/>
    <x v="4"/>
    <x v="166"/>
  </r>
  <r>
    <s v="ANT-0551"/>
    <x v="19"/>
    <n v="-7.789663"/>
    <n v="26.529098000000001"/>
    <x v="1"/>
    <s v="Nokia"/>
    <x v="4"/>
    <x v="167"/>
  </r>
  <r>
    <s v="ANT-0552"/>
    <x v="10"/>
    <n v="-10.579510000000001"/>
    <n v="23.502313999999998"/>
    <x v="0"/>
    <s v="ZTE"/>
    <x v="9"/>
    <x v="40"/>
  </r>
  <r>
    <s v="ANT-0553"/>
    <x v="15"/>
    <n v="4.6287159999999998"/>
    <n v="19.407077999999998"/>
    <x v="0"/>
    <s v="Ericsson"/>
    <x v="4"/>
    <x v="79"/>
  </r>
  <r>
    <s v="ANT-0557"/>
    <x v="21"/>
    <n v="-1.3024210000000001"/>
    <n v="13.601914000000001"/>
    <x v="2"/>
    <s v="Huawei"/>
    <x v="5"/>
    <x v="127"/>
  </r>
  <r>
    <s v="ANT-0558"/>
    <x v="6"/>
    <n v="-11.468578000000001"/>
    <n v="16.914501999999999"/>
    <x v="0"/>
    <s v="Ericsson"/>
    <x v="5"/>
    <x v="119"/>
  </r>
  <r>
    <s v="ANT-0563"/>
    <x v="15"/>
    <n v="-1.8555980000000001"/>
    <n v="30.421918000000002"/>
    <x v="2"/>
    <s v="ZTE"/>
    <x v="0"/>
    <x v="168"/>
  </r>
  <r>
    <s v="ANT-0564"/>
    <x v="15"/>
    <n v="-12.336202"/>
    <n v="13.693683999999999"/>
    <x v="1"/>
    <s v="Huawei"/>
    <x v="3"/>
    <x v="169"/>
  </r>
  <r>
    <s v="ANT-0565"/>
    <x v="24"/>
    <n v="-2.099631"/>
    <n v="13.974640000000001"/>
    <x v="2"/>
    <s v="Nokia"/>
    <x v="4"/>
    <x v="113"/>
  </r>
  <r>
    <s v="ANT-0566"/>
    <x v="3"/>
    <n v="-4.4697000000000001E-2"/>
    <n v="22.943373000000001"/>
    <x v="2"/>
    <s v="Huawei"/>
    <x v="5"/>
    <x v="87"/>
  </r>
  <r>
    <s v="ANT-0569"/>
    <x v="6"/>
    <n v="-3.3890790000000002"/>
    <n v="18.374571"/>
    <x v="1"/>
    <s v="ZTE"/>
    <x v="5"/>
    <x v="170"/>
  </r>
  <r>
    <s v="ANT-0571"/>
    <x v="3"/>
    <n v="-2.3269820000000001"/>
    <n v="14.609259"/>
    <x v="2"/>
    <s v="Nokia"/>
    <x v="5"/>
    <x v="90"/>
  </r>
  <r>
    <s v="ANT-0573"/>
    <x v="22"/>
    <n v="-7.4608439999999998"/>
    <n v="23.268619999999999"/>
    <x v="0"/>
    <s v="Huawei"/>
    <x v="5"/>
    <x v="171"/>
  </r>
  <r>
    <s v="ANT-0578"/>
    <x v="2"/>
    <n v="-6.1490739999999997"/>
    <n v="23.304411000000002"/>
    <x v="1"/>
    <s v="ZTE"/>
    <x v="2"/>
    <x v="172"/>
  </r>
  <r>
    <s v="ANT-0579"/>
    <x v="18"/>
    <n v="-1.6488929999999999"/>
    <n v="27.284617000000001"/>
    <x v="1"/>
    <s v="Nokia"/>
    <x v="5"/>
    <x v="173"/>
  </r>
  <r>
    <s v="ANT-0580"/>
    <x v="22"/>
    <n v="-11.354772000000001"/>
    <n v="21.957325999999998"/>
    <x v="2"/>
    <s v="Nokia"/>
    <x v="5"/>
    <x v="92"/>
  </r>
  <r>
    <s v="ANT-0582"/>
    <x v="21"/>
    <n v="-1.4700059999999999"/>
    <n v="18.680958"/>
    <x v="2"/>
    <s v="Huawei"/>
    <x v="4"/>
    <x v="121"/>
  </r>
  <r>
    <s v="ANT-0584"/>
    <x v="0"/>
    <n v="-3.967184"/>
    <n v="21.177499999999998"/>
    <x v="2"/>
    <s v="Huawei"/>
    <x v="9"/>
    <x v="40"/>
  </r>
  <r>
    <s v="ANT-0587"/>
    <x v="6"/>
    <n v="-10.945031"/>
    <n v="27.922274000000002"/>
    <x v="0"/>
    <s v="Ericsson"/>
    <x v="2"/>
    <x v="174"/>
  </r>
  <r>
    <s v="ANT-0588"/>
    <x v="5"/>
    <n v="-4.8157019999999999"/>
    <n v="27.679798000000002"/>
    <x v="2"/>
    <s v="Ericsson"/>
    <x v="5"/>
    <x v="148"/>
  </r>
  <r>
    <s v="ANT-0589"/>
    <x v="25"/>
    <n v="4.7908840000000001"/>
    <n v="23.051435000000001"/>
    <x v="2"/>
    <s v="Nokia"/>
    <x v="9"/>
    <x v="40"/>
  </r>
  <r>
    <s v="ANT-0590"/>
    <x v="9"/>
    <n v="-6.8161690000000004"/>
    <n v="16.521000999999998"/>
    <x v="1"/>
    <s v="Ericsson"/>
    <x v="9"/>
    <x v="40"/>
  </r>
  <r>
    <s v="ANT-0592"/>
    <x v="16"/>
    <n v="-4.4831099999999999"/>
    <n v="25.406548000000001"/>
    <x v="1"/>
    <s v="Nokia"/>
    <x v="5"/>
    <x v="175"/>
  </r>
  <r>
    <s v="ANT-0593"/>
    <x v="18"/>
    <n v="-6.5144820000000001"/>
    <n v="13.815521"/>
    <x v="0"/>
    <s v="ZTE"/>
    <x v="9"/>
    <x v="40"/>
  </r>
  <r>
    <s v="ANT-0596"/>
    <x v="17"/>
    <n v="-8.3241560000000003"/>
    <n v="19.543866000000001"/>
    <x v="0"/>
    <s v="ZTE"/>
    <x v="5"/>
    <x v="90"/>
  </r>
  <r>
    <s v="ANT-0597"/>
    <x v="0"/>
    <n v="-9.3066320000000005"/>
    <n v="20.470889"/>
    <x v="1"/>
    <s v="ZTE"/>
    <x v="5"/>
    <x v="123"/>
  </r>
  <r>
    <s v="ANT-0600"/>
    <x v="19"/>
    <n v="-12.292039000000001"/>
    <n v="27.538202999999999"/>
    <x v="2"/>
    <s v="Huawei"/>
    <x v="5"/>
    <x v="176"/>
  </r>
  <r>
    <s v="ANT-0601"/>
    <x v="5"/>
    <n v="-12.013389999999999"/>
    <n v="25.24456"/>
    <x v="2"/>
    <s v="Huawei"/>
    <x v="9"/>
    <x v="40"/>
  </r>
  <r>
    <s v="ANT-0602"/>
    <x v="18"/>
    <n v="-1.259528"/>
    <n v="24.607037999999999"/>
    <x v="0"/>
    <s v="ZTE"/>
    <x v="9"/>
    <x v="40"/>
  </r>
  <r>
    <s v="ANT-0603"/>
    <x v="15"/>
    <n v="-1.501492"/>
    <n v="24.088695999999999"/>
    <x v="0"/>
    <s v="Nokia"/>
    <x v="9"/>
    <x v="40"/>
  </r>
  <r>
    <s v="ANT-0604"/>
    <x v="5"/>
    <n v="2.628638"/>
    <n v="28.420582"/>
    <x v="0"/>
    <s v="Huawei"/>
    <x v="4"/>
    <x v="144"/>
  </r>
  <r>
    <s v="ANT-0605"/>
    <x v="3"/>
    <n v="-6.8054750000000004"/>
    <n v="13.022683000000001"/>
    <x v="0"/>
    <s v="Huawei"/>
    <x v="9"/>
    <x v="40"/>
  </r>
  <r>
    <s v="ANT-0607"/>
    <x v="0"/>
    <n v="-8.4985189999999999"/>
    <n v="12.929456999999999"/>
    <x v="0"/>
    <s v="Ericsson"/>
    <x v="2"/>
    <x v="177"/>
  </r>
  <r>
    <s v="ANT-0611"/>
    <x v="7"/>
    <n v="0.79124300000000003"/>
    <n v="25.273389000000002"/>
    <x v="0"/>
    <s v="Nokia"/>
    <x v="5"/>
    <x v="92"/>
  </r>
  <r>
    <s v="ANT-0612"/>
    <x v="25"/>
    <n v="-7.5129409999999996"/>
    <n v="18.701522000000001"/>
    <x v="0"/>
    <s v="Nokia"/>
    <x v="4"/>
    <x v="178"/>
  </r>
  <r>
    <s v="ANT-0613"/>
    <x v="9"/>
    <n v="-7.7942479999999996"/>
    <n v="15.184407999999999"/>
    <x v="2"/>
    <s v="ZTE"/>
    <x v="9"/>
    <x v="40"/>
  </r>
  <r>
    <s v="ANT-0614"/>
    <x v="4"/>
    <n v="-6.1837850000000003"/>
    <n v="25.138759"/>
    <x v="2"/>
    <s v="Ericsson"/>
    <x v="5"/>
    <x v="127"/>
  </r>
  <r>
    <s v="ANT-0615"/>
    <x v="26"/>
    <n v="3.9790009999999998"/>
    <n v="28.069559000000002"/>
    <x v="2"/>
    <s v="Huawei"/>
    <x v="5"/>
    <x v="90"/>
  </r>
  <r>
    <s v="ANT-0616"/>
    <x v="2"/>
    <n v="-3.7093609999999999"/>
    <n v="23.959942999999999"/>
    <x v="0"/>
    <s v="Huawei"/>
    <x v="9"/>
    <x v="40"/>
  </r>
  <r>
    <s v="ANT-0617"/>
    <x v="19"/>
    <n v="-7.7587710000000003"/>
    <n v="17.880848"/>
    <x v="2"/>
    <s v="Ericsson"/>
    <x v="5"/>
    <x v="179"/>
  </r>
  <r>
    <s v="ANT-0618"/>
    <x v="13"/>
    <n v="-4.332408"/>
    <n v="14.119439"/>
    <x v="1"/>
    <s v="Nokia"/>
    <x v="9"/>
    <x v="40"/>
  </r>
  <r>
    <s v="ANT-0619"/>
    <x v="8"/>
    <n v="-7.513261"/>
    <n v="24.338812000000001"/>
    <x v="1"/>
    <s v="Huawei"/>
    <x v="5"/>
    <x v="13"/>
  </r>
  <r>
    <s v="ANT-0620"/>
    <x v="15"/>
    <n v="-4.1754939999999996"/>
    <n v="16.704664999999999"/>
    <x v="2"/>
    <s v="Ericsson"/>
    <x v="4"/>
    <x v="68"/>
  </r>
  <r>
    <s v="ANT-0621"/>
    <x v="6"/>
    <n v="-2.926736"/>
    <n v="18.170461"/>
    <x v="1"/>
    <s v="Ericsson"/>
    <x v="5"/>
    <x v="88"/>
  </r>
  <r>
    <s v="ANT-0622"/>
    <x v="23"/>
    <n v="-3.003879"/>
    <n v="23.633893"/>
    <x v="1"/>
    <s v="Ericsson"/>
    <x v="5"/>
    <x v="143"/>
  </r>
  <r>
    <s v="ANT-0624"/>
    <x v="6"/>
    <n v="0.172153"/>
    <n v="21.091376"/>
    <x v="2"/>
    <s v="Ericsson"/>
    <x v="2"/>
    <x v="79"/>
  </r>
  <r>
    <s v="ANT-0625"/>
    <x v="5"/>
    <n v="0.76493"/>
    <n v="21.564274999999999"/>
    <x v="2"/>
    <s v="ZTE"/>
    <x v="9"/>
    <x v="40"/>
  </r>
  <r>
    <s v="ANT-0627"/>
    <x v="0"/>
    <n v="-11.472474999999999"/>
    <n v="27.418900000000001"/>
    <x v="0"/>
    <s v="ZTE"/>
    <x v="9"/>
    <x v="40"/>
  </r>
  <r>
    <s v="ANT-0629"/>
    <x v="25"/>
    <n v="1.204588"/>
    <n v="15.525152"/>
    <x v="1"/>
    <s v="Huawei"/>
    <x v="9"/>
    <x v="40"/>
  </r>
  <r>
    <s v="ANT-0630"/>
    <x v="25"/>
    <n v="-8.1210620000000002"/>
    <n v="21.094390000000001"/>
    <x v="1"/>
    <s v="ZTE"/>
    <x v="5"/>
    <x v="90"/>
  </r>
  <r>
    <s v="ANT-0631"/>
    <x v="4"/>
    <n v="-0.85624699999999998"/>
    <n v="28.624870000000001"/>
    <x v="2"/>
    <s v="Ericsson"/>
    <x v="4"/>
    <x v="180"/>
  </r>
  <r>
    <s v="ANT-0636"/>
    <x v="19"/>
    <n v="3.796754"/>
    <n v="25.172377999999998"/>
    <x v="0"/>
    <s v="Huawei"/>
    <x v="9"/>
    <x v="40"/>
  </r>
  <r>
    <s v="ANT-0639"/>
    <x v="9"/>
    <n v="2.5665840000000002"/>
    <n v="15.764796"/>
    <x v="2"/>
    <s v="ZTE"/>
    <x v="5"/>
    <x v="89"/>
  </r>
  <r>
    <s v="ANT-0641"/>
    <x v="11"/>
    <n v="-2.2371569999999998"/>
    <n v="25.926188"/>
    <x v="2"/>
    <s v="Nokia"/>
    <x v="2"/>
    <x v="181"/>
  </r>
  <r>
    <s v="ANT-0642"/>
    <x v="20"/>
    <n v="-4.2408359999999998"/>
    <n v="26.210014000000001"/>
    <x v="0"/>
    <s v="Huawei"/>
    <x v="5"/>
    <x v="153"/>
  </r>
  <r>
    <s v="ANT-0645"/>
    <x v="4"/>
    <n v="1.3367519999999999"/>
    <n v="12.697699999999999"/>
    <x v="1"/>
    <s v="Huawei"/>
    <x v="9"/>
    <x v="40"/>
  </r>
  <r>
    <s v="ANT-0647"/>
    <x v="16"/>
    <n v="2.1014910000000002"/>
    <n v="26.133631999999999"/>
    <x v="1"/>
    <s v="Huawei"/>
    <x v="9"/>
    <x v="40"/>
  </r>
  <r>
    <s v="ANT-0648"/>
    <x v="25"/>
    <n v="0.81629799999999997"/>
    <n v="18.557718000000001"/>
    <x v="1"/>
    <s v="Ericsson"/>
    <x v="9"/>
    <x v="40"/>
  </r>
  <r>
    <s v="ANT-0649"/>
    <x v="0"/>
    <n v="-7.7839049999999999"/>
    <n v="14.114281999999999"/>
    <x v="2"/>
    <s v="ZTE"/>
    <x v="2"/>
    <x v="182"/>
  </r>
  <r>
    <s v="ANT-0652"/>
    <x v="21"/>
    <n v="-12.17557"/>
    <n v="26.678691000000001"/>
    <x v="0"/>
    <s v="Huawei"/>
    <x v="9"/>
    <x v="40"/>
  </r>
  <r>
    <s v="ANT-0653"/>
    <x v="15"/>
    <n v="0.82868600000000003"/>
    <n v="26.958843999999999"/>
    <x v="1"/>
    <s v="ZTE"/>
    <x v="0"/>
    <x v="183"/>
  </r>
  <r>
    <s v="ANT-0659"/>
    <x v="24"/>
    <n v="-6.2712260000000004"/>
    <n v="21.512366"/>
    <x v="1"/>
    <s v="Huawei"/>
    <x v="9"/>
    <x v="40"/>
  </r>
  <r>
    <s v="ANT-0662"/>
    <x v="0"/>
    <n v="-1.342476"/>
    <n v="15.986086"/>
    <x v="0"/>
    <s v="Ericsson"/>
    <x v="3"/>
    <x v="184"/>
  </r>
  <r>
    <s v="ANT-0663"/>
    <x v="5"/>
    <n v="-5.5559329999999996"/>
    <n v="13.508692999999999"/>
    <x v="2"/>
    <s v="Nokia"/>
    <x v="5"/>
    <x v="129"/>
  </r>
  <r>
    <s v="ANT-0665"/>
    <x v="3"/>
    <n v="-5.9281110000000004"/>
    <n v="29.607863999999999"/>
    <x v="0"/>
    <s v="Huawei"/>
    <x v="9"/>
    <x v="40"/>
  </r>
  <r>
    <s v="ANT-0668"/>
    <x v="7"/>
    <n v="-9.8208710000000004"/>
    <n v="23.229807000000001"/>
    <x v="1"/>
    <s v="Nokia"/>
    <x v="4"/>
    <x v="144"/>
  </r>
  <r>
    <s v="ANT-0670"/>
    <x v="23"/>
    <n v="-7.1483749999999997"/>
    <n v="26.014271000000001"/>
    <x v="1"/>
    <s v="Huawei"/>
    <x v="2"/>
    <x v="185"/>
  </r>
  <r>
    <s v="ANT-0671"/>
    <x v="0"/>
    <n v="-7.8373179999999998"/>
    <n v="20.527591999999999"/>
    <x v="0"/>
    <s v="Ericsson"/>
    <x v="5"/>
    <x v="88"/>
  </r>
  <r>
    <s v="ANT-0674"/>
    <x v="19"/>
    <n v="0.52897499999999997"/>
    <n v="13.849651"/>
    <x v="2"/>
    <s v="ZTE"/>
    <x v="5"/>
    <x v="186"/>
  </r>
  <r>
    <s v="ANT-0676"/>
    <x v="16"/>
    <n v="3.7552780000000001"/>
    <n v="22.477888"/>
    <x v="2"/>
    <s v="Nokia"/>
    <x v="9"/>
    <x v="40"/>
  </r>
  <r>
    <s v="ANT-0677"/>
    <x v="25"/>
    <n v="-4.6957509999999996"/>
    <n v="14.233525999999999"/>
    <x v="0"/>
    <s v="Nokia"/>
    <x v="5"/>
    <x v="187"/>
  </r>
  <r>
    <s v="ANT-0678"/>
    <x v="15"/>
    <n v="-10.298385"/>
    <n v="29.698117"/>
    <x v="1"/>
    <s v="Nokia"/>
    <x v="4"/>
    <x v="188"/>
  </r>
  <r>
    <s v="ANT-0679"/>
    <x v="7"/>
    <n v="-7.1587569999999996"/>
    <n v="18.975141000000001"/>
    <x v="1"/>
    <s v="Ericsson"/>
    <x v="2"/>
    <x v="189"/>
  </r>
  <r>
    <s v="ANT-0680"/>
    <x v="19"/>
    <n v="-0.79406600000000005"/>
    <n v="12.534793000000001"/>
    <x v="2"/>
    <s v="Huawei"/>
    <x v="5"/>
    <x v="190"/>
  </r>
  <r>
    <s v="ANT-0681"/>
    <x v="6"/>
    <n v="-9.8451869999999992"/>
    <n v="14.508520000000001"/>
    <x v="1"/>
    <s v="Nokia"/>
    <x v="9"/>
    <x v="40"/>
  </r>
  <r>
    <s v="ANT-0682"/>
    <x v="9"/>
    <n v="-2.947235"/>
    <n v="16.534020999999999"/>
    <x v="2"/>
    <s v="Nokia"/>
    <x v="9"/>
    <x v="40"/>
  </r>
  <r>
    <s v="ANT-0685"/>
    <x v="19"/>
    <n v="-10.574821"/>
    <n v="25.324966"/>
    <x v="1"/>
    <s v="Ericsson"/>
    <x v="5"/>
    <x v="167"/>
  </r>
  <r>
    <s v="ANT-0690"/>
    <x v="10"/>
    <n v="1.3006180000000001"/>
    <n v="29.060970999999999"/>
    <x v="2"/>
    <s v="ZTE"/>
    <x v="4"/>
    <x v="82"/>
  </r>
  <r>
    <s v="ANT-0691"/>
    <x v="23"/>
    <n v="-12.488033"/>
    <n v="16.139648000000001"/>
    <x v="0"/>
    <s v="Huawei"/>
    <x v="5"/>
    <x v="187"/>
  </r>
  <r>
    <s v="ANT-0692"/>
    <x v="16"/>
    <n v="7.6420000000000004E-3"/>
    <n v="12.109260000000001"/>
    <x v="0"/>
    <s v="Ericsson"/>
    <x v="9"/>
    <x v="40"/>
  </r>
  <r>
    <s v="ANT-0694"/>
    <x v="15"/>
    <n v="-1.082322"/>
    <n v="24.563559999999999"/>
    <x v="0"/>
    <s v="ZTE"/>
    <x v="9"/>
    <x v="40"/>
  </r>
  <r>
    <s v="ANT-0695"/>
    <x v="5"/>
    <n v="0.16327700000000001"/>
    <n v="14.871577"/>
    <x v="0"/>
    <s v="Huawei"/>
    <x v="4"/>
    <x v="34"/>
  </r>
  <r>
    <s v="ANT-0696"/>
    <x v="23"/>
    <n v="-6.9624990000000002"/>
    <n v="20.759834999999999"/>
    <x v="0"/>
    <s v="Huawei"/>
    <x v="5"/>
    <x v="119"/>
  </r>
  <r>
    <s v="ANT-0697"/>
    <x v="25"/>
    <n v="-4.9124689999999998"/>
    <n v="14.683498999999999"/>
    <x v="2"/>
    <s v="ZTE"/>
    <x v="9"/>
    <x v="40"/>
  </r>
  <r>
    <s v="ANT-0701"/>
    <x v="2"/>
    <n v="-12.839263000000001"/>
    <n v="12.355677"/>
    <x v="2"/>
    <s v="Huawei"/>
    <x v="4"/>
    <x v="191"/>
  </r>
  <r>
    <s v="ANT-0702"/>
    <x v="4"/>
    <n v="-12.88086"/>
    <n v="18.862106000000001"/>
    <x v="2"/>
    <s v="Nokia"/>
    <x v="9"/>
    <x v="40"/>
  </r>
  <r>
    <s v="ANT-0703"/>
    <x v="24"/>
    <n v="-7.0007840000000003"/>
    <n v="22.787997000000001"/>
    <x v="1"/>
    <s v="ZTE"/>
    <x v="5"/>
    <x v="94"/>
  </r>
  <r>
    <s v="ANT-0705"/>
    <x v="7"/>
    <n v="-3.89927"/>
    <n v="30.273492000000001"/>
    <x v="2"/>
    <s v="Nokia"/>
    <x v="9"/>
    <x v="40"/>
  </r>
  <r>
    <s v="ANT-0706"/>
    <x v="14"/>
    <n v="3.3222779999999998"/>
    <n v="29.497240000000001"/>
    <x v="2"/>
    <s v="ZTE"/>
    <x v="9"/>
    <x v="40"/>
  </r>
  <r>
    <s v="ANT-0708"/>
    <x v="25"/>
    <n v="-9.7712979999999998"/>
    <n v="19.827895999999999"/>
    <x v="2"/>
    <s v="ZTE"/>
    <x v="2"/>
    <x v="177"/>
  </r>
  <r>
    <s v="ANT-0714"/>
    <x v="17"/>
    <n v="-12.050063"/>
    <n v="26.636987999999999"/>
    <x v="2"/>
    <s v="Nokia"/>
    <x v="4"/>
    <x v="16"/>
  </r>
  <r>
    <s v="ANT-0715"/>
    <x v="13"/>
    <n v="-11.407966"/>
    <n v="28.378274000000001"/>
    <x v="0"/>
    <s v="ZTE"/>
    <x v="4"/>
    <x v="168"/>
  </r>
  <r>
    <s v="ANT-0716"/>
    <x v="2"/>
    <n v="-0.37665700000000002"/>
    <n v="25.154807999999999"/>
    <x v="2"/>
    <s v="Nokia"/>
    <x v="5"/>
    <x v="90"/>
  </r>
  <r>
    <s v="ANT-0718"/>
    <x v="7"/>
    <n v="1.981107"/>
    <n v="23.932569000000001"/>
    <x v="2"/>
    <s v="Nokia"/>
    <x v="2"/>
    <x v="192"/>
  </r>
  <r>
    <s v="ANT-0719"/>
    <x v="0"/>
    <n v="-7.9987219999999999"/>
    <n v="12.779335"/>
    <x v="1"/>
    <s v="Nokia"/>
    <x v="2"/>
    <x v="180"/>
  </r>
  <r>
    <s v="ANT-0721"/>
    <x v="24"/>
    <n v="-3.9148719999999999"/>
    <n v="12.260933"/>
    <x v="0"/>
    <s v="Ericsson"/>
    <x v="5"/>
    <x v="186"/>
  </r>
  <r>
    <s v="ANT-0731"/>
    <x v="16"/>
    <n v="-12.333232000000001"/>
    <n v="25.229620000000001"/>
    <x v="1"/>
    <s v="Nokia"/>
    <x v="5"/>
    <x v="193"/>
  </r>
  <r>
    <s v="ANT-0735"/>
    <x v="14"/>
    <n v="-5.8352820000000003"/>
    <n v="26.603978000000001"/>
    <x v="0"/>
    <s v="Huawei"/>
    <x v="5"/>
    <x v="187"/>
  </r>
  <r>
    <s v="ANT-0736"/>
    <x v="12"/>
    <n v="-4.2784089999999999"/>
    <n v="22.871994000000001"/>
    <x v="2"/>
    <s v="Ericsson"/>
    <x v="9"/>
    <x v="40"/>
  </r>
  <r>
    <s v="ANT-0737"/>
    <x v="7"/>
    <n v="-2.8211520000000001"/>
    <n v="20.651419000000001"/>
    <x v="1"/>
    <s v="Ericsson"/>
    <x v="0"/>
    <x v="194"/>
  </r>
  <r>
    <s v="ANT-0738"/>
    <x v="24"/>
    <n v="-10.439686999999999"/>
    <n v="20.714210000000001"/>
    <x v="0"/>
    <s v="ZTE"/>
    <x v="5"/>
    <x v="157"/>
  </r>
  <r>
    <s v="ANT-0739 "/>
    <x v="12"/>
    <n v="1.5601240000000001"/>
    <n v="12.225398"/>
    <x v="1"/>
    <s v="Nokia"/>
    <x v="9"/>
    <x v="40"/>
  </r>
  <r>
    <s v="ANT-0741"/>
    <x v="5"/>
    <n v="-3.2700629999999999"/>
    <n v="26.520330000000001"/>
    <x v="1"/>
    <s v="Nokia"/>
    <x v="9"/>
    <x v="40"/>
  </r>
  <r>
    <s v="ANT-0742"/>
    <x v="8"/>
    <n v="2.6937519999999999"/>
    <n v="26.524137"/>
    <x v="2"/>
    <s v="Ericsson"/>
    <x v="9"/>
    <x v="40"/>
  </r>
  <r>
    <s v="ANT-0745"/>
    <x v="21"/>
    <n v="2.453036"/>
    <n v="20.555484"/>
    <x v="1"/>
    <s v="Ericsson"/>
    <x v="4"/>
    <x v="76"/>
  </r>
  <r>
    <s v="ANT-0746"/>
    <x v="2"/>
    <n v="-1.1284540000000001"/>
    <n v="23.000360000000001"/>
    <x v="1"/>
    <s v="Ericsson"/>
    <x v="5"/>
    <x v="96"/>
  </r>
  <r>
    <s v="ANT-0750"/>
    <x v="16"/>
    <n v="-1.3976519999999999"/>
    <n v="14.098819000000001"/>
    <x v="2"/>
    <s v="Ericsson"/>
    <x v="5"/>
    <x v="195"/>
  </r>
  <r>
    <s v="ANT-0751"/>
    <x v="11"/>
    <n v="-1.4695480000000001"/>
    <n v="20.876676"/>
    <x v="1"/>
    <s v="Ericsson"/>
    <x v="9"/>
    <x v="40"/>
  </r>
  <r>
    <s v="ANT-0752"/>
    <x v="15"/>
    <n v="-3.3883130000000001"/>
    <n v="26.838507"/>
    <x v="1"/>
    <s v="Nokia"/>
    <x v="9"/>
    <x v="40"/>
  </r>
  <r>
    <s v="ANT-0753"/>
    <x v="6"/>
    <n v="-5.1507670000000001"/>
    <n v="28.075324999999999"/>
    <x v="1"/>
    <s v="Huawei"/>
    <x v="5"/>
    <x v="106"/>
  </r>
  <r>
    <s v="ANT-0754"/>
    <x v="23"/>
    <n v="-11.924048000000001"/>
    <n v="24.177174999999998"/>
    <x v="2"/>
    <s v="Nokia"/>
    <x v="5"/>
    <x v="196"/>
  </r>
  <r>
    <s v="ANT-0755"/>
    <x v="3"/>
    <n v="-9.8519260000000006"/>
    <n v="12.925583"/>
    <x v="1"/>
    <s v="Ericsson"/>
    <x v="9"/>
    <x v="40"/>
  </r>
  <r>
    <s v="ANT-0758"/>
    <x v="22"/>
    <n v="-7.4679279999999997"/>
    <n v="19.828595"/>
    <x v="1"/>
    <s v="Nokia"/>
    <x v="9"/>
    <x v="40"/>
  </r>
  <r>
    <s v="ANT-0760"/>
    <x v="8"/>
    <n v="-2.7140689999999998"/>
    <n v="22.222104000000002"/>
    <x v="0"/>
    <s v="Nokia"/>
    <x v="5"/>
    <x v="188"/>
  </r>
  <r>
    <s v="ANT-0768"/>
    <x v="24"/>
    <n v="-9.9565739999999998"/>
    <n v="21.017202000000001"/>
    <x v="0"/>
    <s v="Huawei"/>
    <x v="5"/>
    <x v="95"/>
  </r>
  <r>
    <s v="ANT-0769"/>
    <x v="8"/>
    <n v="-7.9799689999999996"/>
    <n v="21.042310000000001"/>
    <x v="0"/>
    <s v="ZTE"/>
    <x v="9"/>
    <x v="40"/>
  </r>
  <r>
    <s v="ANT-0770"/>
    <x v="20"/>
    <n v="2.4741019999999998"/>
    <n v="29.297391000000001"/>
    <x v="0"/>
    <s v="Ericsson"/>
    <x v="2"/>
    <x v="197"/>
  </r>
  <r>
    <s v="ANT-0775"/>
    <x v="3"/>
    <n v="1.5278670000000001"/>
    <n v="13.899388999999999"/>
    <x v="2"/>
    <s v="Huawei"/>
    <x v="0"/>
    <x v="198"/>
  </r>
  <r>
    <s v="ANT-0776"/>
    <x v="9"/>
    <n v="1.102554"/>
    <n v="26.744315"/>
    <x v="2"/>
    <s v="Ericsson"/>
    <x v="9"/>
    <x v="40"/>
  </r>
  <r>
    <s v="ANT-0780"/>
    <x v="5"/>
    <n v="4.6701629999999996"/>
    <n v="28.596363"/>
    <x v="1"/>
    <s v="Ericsson"/>
    <x v="9"/>
    <x v="40"/>
  </r>
  <r>
    <s v="ANT-0786"/>
    <x v="17"/>
    <n v="-12.342053999999999"/>
    <n v="18.756862000000002"/>
    <x v="2"/>
    <s v="Ericsson"/>
    <x v="4"/>
    <x v="139"/>
  </r>
  <r>
    <s v="ANT-0788"/>
    <x v="9"/>
    <n v="1.5802860000000001"/>
    <n v="20.99053"/>
    <x v="0"/>
    <s v="ZTE"/>
    <x v="4"/>
    <x v="115"/>
  </r>
  <r>
    <s v="ANT-0789"/>
    <x v="14"/>
    <n v="-12.086929"/>
    <n v="14.032645"/>
    <x v="2"/>
    <s v="ZTE"/>
    <x v="9"/>
    <x v="40"/>
  </r>
  <r>
    <s v="ANT-0790"/>
    <x v="6"/>
    <n v="-2.9417719999999998"/>
    <n v="18.587305000000001"/>
    <x v="1"/>
    <s v="Ericsson"/>
    <x v="4"/>
    <x v="199"/>
  </r>
  <r>
    <s v="ANT-0791"/>
    <x v="20"/>
    <n v="4.2187000000000001"/>
    <n v="29.390174999999999"/>
    <x v="0"/>
    <s v="ZTE"/>
    <x v="9"/>
    <x v="40"/>
  </r>
  <r>
    <s v="ANT-0794"/>
    <x v="9"/>
    <n v="-3.8119990000000001"/>
    <n v="20.420048000000001"/>
    <x v="2"/>
    <s v="ZTE"/>
    <x v="5"/>
    <x v="105"/>
  </r>
  <r>
    <s v="ANT-0796"/>
    <x v="1"/>
    <n v="-3.269612"/>
    <n v="25.571189"/>
    <x v="1"/>
    <s v="Ericsson"/>
    <x v="9"/>
    <x v="40"/>
  </r>
  <r>
    <s v="ANT-0797"/>
    <x v="23"/>
    <n v="-12.100756000000001"/>
    <n v="21.938649999999999"/>
    <x v="0"/>
    <s v="Huawei"/>
    <x v="4"/>
    <x v="143"/>
  </r>
  <r>
    <s v="ANT-0802"/>
    <x v="16"/>
    <n v="1.368018"/>
    <n v="14.203893000000001"/>
    <x v="1"/>
    <s v="Huawei"/>
    <x v="9"/>
    <x v="40"/>
  </r>
  <r>
    <s v="ANT-0804"/>
    <x v="12"/>
    <n v="-4.1250960000000001"/>
    <n v="27.799897999999999"/>
    <x v="2"/>
    <s v="Nokia"/>
    <x v="4"/>
    <x v="200"/>
  </r>
  <r>
    <s v="ANT-0809"/>
    <x v="12"/>
    <n v="-4.6426759999999998"/>
    <n v="22.124254000000001"/>
    <x v="0"/>
    <s v="ZTE"/>
    <x v="5"/>
    <x v="187"/>
  </r>
  <r>
    <s v="ANT-0810"/>
    <x v="3"/>
    <n v="0.24369399999999999"/>
    <n v="17.242912"/>
    <x v="0"/>
    <s v="Nokia"/>
    <x v="9"/>
    <x v="40"/>
  </r>
  <r>
    <s v="ANT-0811"/>
    <x v="9"/>
    <n v="-5.125"/>
    <n v="23.513119"/>
    <x v="1"/>
    <s v="Huawei"/>
    <x v="4"/>
    <x v="201"/>
  </r>
  <r>
    <s v="ANT-0812"/>
    <x v="15"/>
    <n v="-2.3102109999999998"/>
    <n v="12.362488000000001"/>
    <x v="1"/>
    <s v="Nokia"/>
    <x v="5"/>
    <x v="159"/>
  </r>
  <r>
    <s v="ANT-0813"/>
    <x v="21"/>
    <n v="-1.5419050000000001"/>
    <n v="14.730632999999999"/>
    <x v="2"/>
    <s v="ZTE"/>
    <x v="4"/>
    <x v="202"/>
  </r>
  <r>
    <s v="ANT-0821"/>
    <x v="12"/>
    <n v="-3.7720639999999999"/>
    <n v="16.006277999999998"/>
    <x v="1"/>
    <s v="ZTE"/>
    <x v="2"/>
    <x v="203"/>
  </r>
  <r>
    <s v="ANT-0822"/>
    <x v="13"/>
    <n v="-4.5180470000000001"/>
    <n v="19.908223"/>
    <x v="1"/>
    <s v="Huawei"/>
    <x v="9"/>
    <x v="40"/>
  </r>
  <r>
    <s v="ANT-0824"/>
    <x v="6"/>
    <n v="-4.0490719999999998"/>
    <n v="21.399131000000001"/>
    <x v="2"/>
    <s v="ZTE"/>
    <x v="9"/>
    <x v="40"/>
  </r>
  <r>
    <s v="ANT-0826"/>
    <x v="15"/>
    <n v="-10.846306999999999"/>
    <n v="19.201827999999999"/>
    <x v="0"/>
    <s v="Ericsson"/>
    <x v="2"/>
    <x v="165"/>
  </r>
  <r>
    <s v="ANT-0827"/>
    <x v="12"/>
    <n v="-4.1061909999999999"/>
    <n v="28.054902999999999"/>
    <x v="2"/>
    <s v="Huawei"/>
    <x v="9"/>
    <x v="40"/>
  </r>
  <r>
    <s v="ANT-0829"/>
    <x v="13"/>
    <n v="4.6809229999999999"/>
    <n v="28.934242000000001"/>
    <x v="1"/>
    <s v="Nokia"/>
    <x v="5"/>
    <x v="187"/>
  </r>
  <r>
    <s v="ANT-0831"/>
    <x v="17"/>
    <n v="-12.01816"/>
    <n v="23.828645999999999"/>
    <x v="2"/>
    <s v="Huawei"/>
    <x v="9"/>
    <x v="40"/>
  </r>
  <r>
    <s v="ANT-0832"/>
    <x v="11"/>
    <n v="0.419985"/>
    <n v="13.847996999999999"/>
    <x v="1"/>
    <s v="ZTE"/>
    <x v="9"/>
    <x v="40"/>
  </r>
  <r>
    <s v="ANT-0833"/>
    <x v="3"/>
    <n v="0.40267799999999998"/>
    <n v="16.000858000000001"/>
    <x v="2"/>
    <s v="Nokia"/>
    <x v="5"/>
    <x v="119"/>
  </r>
  <r>
    <s v="ANT-0835"/>
    <x v="15"/>
    <n v="1.017161"/>
    <n v="16.519689"/>
    <x v="2"/>
    <s v="Nokia"/>
    <x v="4"/>
    <x v="11"/>
  </r>
  <r>
    <s v="ANT-0837"/>
    <x v="13"/>
    <n v="-5.3762689999999997"/>
    <n v="28.189575999999999"/>
    <x v="1"/>
    <s v="Huawei"/>
    <x v="3"/>
    <x v="107"/>
  </r>
  <r>
    <s v="ANT-0839"/>
    <x v="4"/>
    <n v="-11.265995"/>
    <n v="28.935514999999999"/>
    <x v="0"/>
    <s v="Ericsson"/>
    <x v="4"/>
    <x v="166"/>
  </r>
  <r>
    <s v="ANT-0841"/>
    <x v="0"/>
    <n v="-4.749333"/>
    <n v="23.636389000000001"/>
    <x v="2"/>
    <s v="ZTE"/>
    <x v="9"/>
    <x v="40"/>
  </r>
  <r>
    <s v="ANT-0843"/>
    <x v="25"/>
    <n v="0.65288900000000005"/>
    <n v="24.243953999999999"/>
    <x v="1"/>
    <s v="Ericsson"/>
    <x v="5"/>
    <x v="204"/>
  </r>
  <r>
    <s v="ANT-0845"/>
    <x v="22"/>
    <n v="-10.872631999999999"/>
    <n v="12.773279"/>
    <x v="2"/>
    <s v="ZTE"/>
    <x v="2"/>
    <x v="205"/>
  </r>
  <r>
    <s v="ANT-0846"/>
    <x v="10"/>
    <n v="-7.1079169999999996"/>
    <n v="13.636272"/>
    <x v="1"/>
    <s v="Nokia"/>
    <x v="4"/>
    <x v="93"/>
  </r>
  <r>
    <s v="ANT-0847"/>
    <x v="18"/>
    <n v="-4.4862339999999996"/>
    <n v="17.956159"/>
    <x v="2"/>
    <s v="Huawei"/>
    <x v="9"/>
    <x v="40"/>
  </r>
  <r>
    <s v="ANT-0849"/>
    <x v="3"/>
    <n v="-10.614302"/>
    <n v="29.436530999999999"/>
    <x v="2"/>
    <s v="Ericsson"/>
    <x v="9"/>
    <x v="40"/>
  </r>
  <r>
    <s v="ANT-0850"/>
    <x v="20"/>
    <n v="-5.9021970000000001"/>
    <n v="20.551169999999999"/>
    <x v="2"/>
    <s v="Huawei"/>
    <x v="4"/>
    <x v="148"/>
  </r>
  <r>
    <s v="ANT-0852"/>
    <x v="21"/>
    <n v="4.2493650000000001"/>
    <n v="28.355039999999999"/>
    <x v="2"/>
    <s v="ZTE"/>
    <x v="2"/>
    <x v="206"/>
  </r>
  <r>
    <s v="ANT-0855"/>
    <x v="13"/>
    <n v="-11.514188000000001"/>
    <n v="15.971181"/>
    <x v="1"/>
    <s v="Ericsson"/>
    <x v="4"/>
    <x v="94"/>
  </r>
  <r>
    <s v="ANT-0856"/>
    <x v="12"/>
    <n v="-1.9120569999999999"/>
    <n v="15.236072999999999"/>
    <x v="1"/>
    <s v="Huawei"/>
    <x v="5"/>
    <x v="188"/>
  </r>
  <r>
    <s v="ANT-0858"/>
    <x v="9"/>
    <n v="-5.3956809999999997"/>
    <n v="14.49985"/>
    <x v="0"/>
    <s v="ZTE"/>
    <x v="9"/>
    <x v="40"/>
  </r>
  <r>
    <s v="ANT-0862"/>
    <x v="24"/>
    <n v="-9.4708620000000003"/>
    <n v="29.234387999999999"/>
    <x v="2"/>
    <s v="ZTE"/>
    <x v="5"/>
    <x v="207"/>
  </r>
  <r>
    <s v="ANT-0863"/>
    <x v="9"/>
    <n v="-12.048655999999999"/>
    <n v="30.577876"/>
    <x v="1"/>
    <s v="ZTE"/>
    <x v="9"/>
    <x v="40"/>
  </r>
  <r>
    <s v="ANT-0865"/>
    <x v="23"/>
    <n v="-4.869434"/>
    <n v="22.326522000000001"/>
    <x v="1"/>
    <s v="Ericsson"/>
    <x v="4"/>
    <x v="129"/>
  </r>
  <r>
    <s v="ANT-0869"/>
    <x v="22"/>
    <n v="-8.0301989999999996"/>
    <n v="24.122495000000001"/>
    <x v="1"/>
    <s v="ZTE"/>
    <x v="2"/>
    <x v="208"/>
  </r>
  <r>
    <s v="ANT-0870"/>
    <x v="2"/>
    <n v="-9.1215879999999991"/>
    <n v="16.457916999999998"/>
    <x v="0"/>
    <s v="Nokia"/>
    <x v="5"/>
    <x v="209"/>
  </r>
  <r>
    <s v="ANT-0871"/>
    <x v="16"/>
    <n v="4.0955700000000004"/>
    <n v="23.610704999999999"/>
    <x v="0"/>
    <s v="ZTE"/>
    <x v="9"/>
    <x v="40"/>
  </r>
  <r>
    <s v="ANT-0872"/>
    <x v="16"/>
    <n v="2.486888"/>
    <n v="23.798074"/>
    <x v="1"/>
    <s v="ZTE"/>
    <x v="4"/>
    <x v="124"/>
  </r>
  <r>
    <s v="ANT-0875"/>
    <x v="5"/>
    <n v="-3.1608390000000002"/>
    <n v="13.244503999999999"/>
    <x v="2"/>
    <s v="Huawei"/>
    <x v="5"/>
    <x v="119"/>
  </r>
  <r>
    <s v="ANT-0876"/>
    <x v="7"/>
    <n v="-3.7900040000000002"/>
    <n v="24.769718999999998"/>
    <x v="1"/>
    <s v="Huawei"/>
    <x v="9"/>
    <x v="40"/>
  </r>
  <r>
    <s v="ANT-0878"/>
    <x v="6"/>
    <n v="3.7141999999999999"/>
    <n v="28.547066999999998"/>
    <x v="2"/>
    <s v="ZTE"/>
    <x v="9"/>
    <x v="40"/>
  </r>
  <r>
    <s v="ANT-0880"/>
    <x v="23"/>
    <n v="0.29375600000000002"/>
    <n v="18.528884000000001"/>
    <x v="1"/>
    <s v="ZTE"/>
    <x v="9"/>
    <x v="40"/>
  </r>
  <r>
    <s v="ANT-0881"/>
    <x v="15"/>
    <n v="-6.5332999999999997"/>
    <n v="20.098018"/>
    <x v="0"/>
    <s v="Huawei"/>
    <x v="5"/>
    <x v="146"/>
  </r>
  <r>
    <s v="ANT-0882"/>
    <x v="3"/>
    <n v="-1.500685"/>
    <n v="26.563376000000002"/>
    <x v="1"/>
    <s v="Nokia"/>
    <x v="5"/>
    <x v="167"/>
  </r>
  <r>
    <s v="ANT-0883"/>
    <x v="21"/>
    <n v="-9.4702129999999993"/>
    <n v="12.826158"/>
    <x v="2"/>
    <s v="Ericsson"/>
    <x v="2"/>
    <x v="74"/>
  </r>
  <r>
    <s v="ANT-0884"/>
    <x v="16"/>
    <n v="0.98189400000000004"/>
    <n v="13.008620000000001"/>
    <x v="0"/>
    <s v="Huawei"/>
    <x v="9"/>
    <x v="40"/>
  </r>
  <r>
    <s v="ANT-0889"/>
    <x v="8"/>
    <n v="-4.8560549999999996"/>
    <n v="15.889538999999999"/>
    <x v="2"/>
    <s v="Huawei"/>
    <x v="9"/>
    <x v="40"/>
  </r>
  <r>
    <s v="ANT-0890"/>
    <x v="18"/>
    <n v="-10.790281"/>
    <n v="12.624336"/>
    <x v="0"/>
    <s v="Nokia"/>
    <x v="9"/>
    <x v="40"/>
  </r>
  <r>
    <s v="ANT-0893"/>
    <x v="1"/>
    <n v="4.0297190000000001"/>
    <n v="20.699608000000001"/>
    <x v="0"/>
    <s v="Ericsson"/>
    <x v="9"/>
    <x v="40"/>
  </r>
  <r>
    <s v="ANT-0894"/>
    <x v="15"/>
    <n v="4.9455159999999996"/>
    <n v="23.647746000000001"/>
    <x v="1"/>
    <s v="Huawei"/>
    <x v="5"/>
    <x v="210"/>
  </r>
  <r>
    <s v="ANT-0895"/>
    <x v="2"/>
    <n v="-11.366868999999999"/>
    <n v="26.155318000000001"/>
    <x v="0"/>
    <s v="Huawei"/>
    <x v="9"/>
    <x v="40"/>
  </r>
  <r>
    <s v="ANT-0899"/>
    <x v="3"/>
    <n v="4.7044240000000004"/>
    <n v="20.486409999999999"/>
    <x v="0"/>
    <s v="ZTE"/>
    <x v="9"/>
    <x v="40"/>
  </r>
  <r>
    <s v="ANT-0900"/>
    <x v="24"/>
    <n v="-10.776204"/>
    <n v="24.672934000000001"/>
    <x v="0"/>
    <s v="Ericsson"/>
    <x v="2"/>
    <x v="203"/>
  </r>
  <r>
    <s v="ANT-0902"/>
    <x v="14"/>
    <n v="-10.414493"/>
    <n v="12.333356999999999"/>
    <x v="2"/>
    <s v="Ericsson"/>
    <x v="3"/>
    <x v="198"/>
  </r>
  <r>
    <s v="ANT-0904"/>
    <x v="18"/>
    <n v="-6.0946619999999996"/>
    <n v="20.757277999999999"/>
    <x v="1"/>
    <s v="Huawei"/>
    <x v="9"/>
    <x v="40"/>
  </r>
  <r>
    <s v="ANT-0907"/>
    <x v="23"/>
    <n v="2.7355830000000001"/>
    <n v="22.006969000000002"/>
    <x v="1"/>
    <s v="Ericsson"/>
    <x v="9"/>
    <x v="40"/>
  </r>
  <r>
    <s v="ANT-0908"/>
    <x v="0"/>
    <n v="-7.31691"/>
    <n v="29.836627"/>
    <x v="1"/>
    <s v="ZTE"/>
    <x v="9"/>
    <x v="40"/>
  </r>
  <r>
    <s v="ANT-0910"/>
    <x v="10"/>
    <n v="-11.771884"/>
    <n v="18.089172999999999"/>
    <x v="0"/>
    <s v="Nokia"/>
    <x v="9"/>
    <x v="40"/>
  </r>
  <r>
    <s v="ANT-0913"/>
    <x v="10"/>
    <n v="-5.4126279999999998"/>
    <n v="25.498235999999999"/>
    <x v="1"/>
    <s v="ZTE"/>
    <x v="5"/>
    <x v="211"/>
  </r>
  <r>
    <s v="ANT-0914"/>
    <x v="11"/>
    <n v="-11.218453999999999"/>
    <n v="28.230025000000001"/>
    <x v="1"/>
    <s v="ZTE"/>
    <x v="4"/>
    <x v="156"/>
  </r>
  <r>
    <s v="ANT-0915"/>
    <x v="16"/>
    <n v="-11.727425"/>
    <n v="27.198173000000001"/>
    <x v="2"/>
    <s v="Ericsson"/>
    <x v="9"/>
    <x v="40"/>
  </r>
  <r>
    <s v="ANT-0916"/>
    <x v="21"/>
    <n v="-3.3081109999999998"/>
    <n v="29.700202000000001"/>
    <x v="0"/>
    <s v="Nokia"/>
    <x v="9"/>
    <x v="40"/>
  </r>
  <r>
    <s v="ANT-0917"/>
    <x v="12"/>
    <n v="-0.65356899999999996"/>
    <n v="25.343032999999998"/>
    <x v="0"/>
    <s v="Ericsson"/>
    <x v="9"/>
    <x v="40"/>
  </r>
  <r>
    <s v="ANT-0918"/>
    <x v="15"/>
    <n v="-11.231472"/>
    <n v="25.388874000000001"/>
    <x v="0"/>
    <s v="Huawei"/>
    <x v="5"/>
    <x v="212"/>
  </r>
  <r>
    <s v="ANT-0921"/>
    <x v="6"/>
    <n v="2.016505"/>
    <n v="14.294164"/>
    <x v="1"/>
    <s v="Huawei"/>
    <x v="4"/>
    <x v="213"/>
  </r>
  <r>
    <s v="ANT-0923"/>
    <x v="4"/>
    <n v="-12.070842000000001"/>
    <n v="14.757847"/>
    <x v="0"/>
    <s v="ZTE"/>
    <x v="5"/>
    <x v="163"/>
  </r>
  <r>
    <s v="ANT-0925"/>
    <x v="23"/>
    <n v="-2.2199559999999998"/>
    <n v="22.614449"/>
    <x v="2"/>
    <s v="Nokia"/>
    <x v="5"/>
    <x v="138"/>
  </r>
  <r>
    <s v="ANT-0926"/>
    <x v="17"/>
    <n v="-10.914952"/>
    <n v="26.409648000000001"/>
    <x v="0"/>
    <s v="Huawei"/>
    <x v="2"/>
    <x v="214"/>
  </r>
  <r>
    <s v="ANT-0928"/>
    <x v="24"/>
    <n v="-1.864393"/>
    <n v="21.453434000000001"/>
    <x v="1"/>
    <s v="Ericsson"/>
    <x v="5"/>
    <x v="215"/>
  </r>
  <r>
    <s v="ANT-0929"/>
    <x v="14"/>
    <n v="-6.6803710000000001"/>
    <n v="21.955673000000001"/>
    <x v="0"/>
    <s v="Nokia"/>
    <x v="5"/>
    <x v="146"/>
  </r>
  <r>
    <s v="ANT-0933"/>
    <x v="4"/>
    <n v="-9.4056660000000001"/>
    <n v="15.541930000000001"/>
    <x v="0"/>
    <s v="Huawei"/>
    <x v="9"/>
    <x v="40"/>
  </r>
  <r>
    <s v="ANT-0934"/>
    <x v="12"/>
    <n v="-11.002602"/>
    <n v="23.918247999999998"/>
    <x v="1"/>
    <s v="ZTE"/>
    <x v="5"/>
    <x v="216"/>
  </r>
  <r>
    <s v="ANT-0935"/>
    <x v="0"/>
    <n v="-10.375266999999999"/>
    <n v="17.993663000000002"/>
    <x v="1"/>
    <s v="ZTE"/>
    <x v="5"/>
    <x v="90"/>
  </r>
  <r>
    <s v="ANT-0936"/>
    <x v="9"/>
    <n v="-10.165072"/>
    <n v="29.428024000000001"/>
    <x v="1"/>
    <s v="Huawei"/>
    <x v="2"/>
    <x v="217"/>
  </r>
  <r>
    <s v="ANT-0937"/>
    <x v="7"/>
    <n v="-10.451371"/>
    <n v="24.38336"/>
    <x v="2"/>
    <s v="Ericsson"/>
    <x v="9"/>
    <x v="40"/>
  </r>
  <r>
    <s v="ANT-0938"/>
    <x v="1"/>
    <n v="3.0184790000000001"/>
    <n v="27.188068000000001"/>
    <x v="1"/>
    <s v="Ericsson"/>
    <x v="9"/>
    <x v="40"/>
  </r>
  <r>
    <s v="ANT-0939"/>
    <x v="22"/>
    <n v="-7.5180249999999997"/>
    <n v="20.478905999999998"/>
    <x v="1"/>
    <s v="Nokia"/>
    <x v="9"/>
    <x v="40"/>
  </r>
  <r>
    <s v="ANT-0940"/>
    <x v="16"/>
    <n v="-5.3337589999999997"/>
    <n v="13.246924"/>
    <x v="2"/>
    <s v="Ericsson"/>
    <x v="9"/>
    <x v="40"/>
  </r>
  <r>
    <s v="ANT-0941"/>
    <x v="24"/>
    <n v="-2.4662510000000002"/>
    <n v="18.007998000000001"/>
    <x v="1"/>
    <s v="Ericsson"/>
    <x v="4"/>
    <x v="218"/>
  </r>
  <r>
    <s v="ANT-0942"/>
    <x v="0"/>
    <n v="-4.8128659999999996"/>
    <n v="18.559304999999998"/>
    <x v="1"/>
    <s v="ZTE"/>
    <x v="5"/>
    <x v="219"/>
  </r>
  <r>
    <s v="ANT-0945"/>
    <x v="4"/>
    <n v="0.23583499999999999"/>
    <n v="24.889558999999998"/>
    <x v="2"/>
    <s v="ZTE"/>
    <x v="5"/>
    <x v="163"/>
  </r>
  <r>
    <s v="ANT-0946"/>
    <x v="4"/>
    <n v="-6.419365"/>
    <n v="17.570219000000002"/>
    <x v="0"/>
    <s v="Huawei"/>
    <x v="9"/>
    <x v="40"/>
  </r>
  <r>
    <s v="ANT-0947"/>
    <x v="5"/>
    <n v="-1.598759"/>
    <n v="17.553023"/>
    <x v="0"/>
    <s v="Huawei"/>
    <x v="9"/>
    <x v="40"/>
  </r>
  <r>
    <s v="ANT-0948"/>
    <x v="7"/>
    <n v="-1.9080220000000001"/>
    <n v="19.233322999999999"/>
    <x v="2"/>
    <s v="Ericsson"/>
    <x v="9"/>
    <x v="40"/>
  </r>
  <r>
    <s v="ANT-0950"/>
    <x v="2"/>
    <n v="3.3289240000000002"/>
    <n v="24.412261000000001"/>
    <x v="1"/>
    <s v="Nokia"/>
    <x v="5"/>
    <x v="128"/>
  </r>
  <r>
    <s v="ANT-0952"/>
    <x v="20"/>
    <n v="-0.77432100000000004"/>
    <n v="18.628658999999999"/>
    <x v="0"/>
    <s v="Huawei"/>
    <x v="4"/>
    <x v="220"/>
  </r>
  <r>
    <s v="ANT-0954"/>
    <x v="12"/>
    <n v="-7.3750049999999998"/>
    <n v="30.878126000000002"/>
    <x v="1"/>
    <s v="Huawei"/>
    <x v="9"/>
    <x v="40"/>
  </r>
  <r>
    <s v="ANT-0956"/>
    <x v="6"/>
    <n v="-12.207461"/>
    <n v="13.492367"/>
    <x v="2"/>
    <s v="Ericsson"/>
    <x v="9"/>
    <x v="40"/>
  </r>
  <r>
    <s v="ANT-0957"/>
    <x v="5"/>
    <n v="-7.1785899999999998"/>
    <n v="24.4404"/>
    <x v="0"/>
    <s v="Nokia"/>
    <x v="2"/>
    <x v="145"/>
  </r>
  <r>
    <s v="ANT-0959"/>
    <x v="22"/>
    <n v="-4.2184999999999997"/>
    <n v="23.077093999999999"/>
    <x v="0"/>
    <s v="Ericsson"/>
    <x v="5"/>
    <x v="102"/>
  </r>
  <r>
    <s v="ANT-0962"/>
    <x v="22"/>
    <n v="-10.572326"/>
    <n v="25.276349"/>
    <x v="2"/>
    <s v="ZTE"/>
    <x v="9"/>
    <x v="40"/>
  </r>
  <r>
    <s v="ANT-0964"/>
    <x v="10"/>
    <n v="-0.57104900000000003"/>
    <n v="15.317663"/>
    <x v="1"/>
    <s v="Nokia"/>
    <x v="5"/>
    <x v="221"/>
  </r>
  <r>
    <s v="ANT-0966"/>
    <x v="12"/>
    <n v="-12.364127999999999"/>
    <n v="19.576150999999999"/>
    <x v="2"/>
    <s v="Nokia"/>
    <x v="5"/>
    <x v="139"/>
  </r>
  <r>
    <s v="ANT-0970"/>
    <x v="15"/>
    <n v="-11.866133"/>
    <n v="27.068932"/>
    <x v="2"/>
    <s v="Huawei"/>
    <x v="4"/>
    <x v="222"/>
  </r>
  <r>
    <s v="ANT-0972"/>
    <x v="7"/>
    <n v="-0.469945"/>
    <n v="21.038527999999999"/>
    <x v="2"/>
    <s v="Ericsson"/>
    <x v="5"/>
    <x v="212"/>
  </r>
  <r>
    <s v="ANT-0975"/>
    <x v="5"/>
    <n v="-5.8145569999999998"/>
    <n v="21.942052"/>
    <x v="1"/>
    <s v="Huawei"/>
    <x v="5"/>
    <x v="89"/>
  </r>
  <r>
    <s v="ANT-0981"/>
    <x v="7"/>
    <n v="-11.542737000000001"/>
    <n v="30.175912"/>
    <x v="0"/>
    <s v="Nokia"/>
    <x v="9"/>
    <x v="40"/>
  </r>
  <r>
    <s v="ANT-0982"/>
    <x v="5"/>
    <n v="3.42055"/>
    <n v="15.370965999999999"/>
    <x v="0"/>
    <s v="Nokia"/>
    <x v="9"/>
    <x v="40"/>
  </r>
  <r>
    <s v="ANT-0984"/>
    <x v="7"/>
    <n v="-2.290705"/>
    <n v="19.150395"/>
    <x v="1"/>
    <s v="Ericsson"/>
    <x v="9"/>
    <x v="40"/>
  </r>
  <r>
    <s v="ANT-0985"/>
    <x v="9"/>
    <n v="-7.6757720000000003"/>
    <n v="30.222971000000001"/>
    <x v="1"/>
    <s v="Ericsson"/>
    <x v="5"/>
    <x v="148"/>
  </r>
  <r>
    <s v="ANT-0986"/>
    <x v="18"/>
    <n v="1.727095"/>
    <n v="22.099651999999999"/>
    <x v="0"/>
    <s v="Huawei"/>
    <x v="5"/>
    <x v="98"/>
  </r>
  <r>
    <s v="ANT-0988"/>
    <x v="2"/>
    <n v="-5.7200150000000001"/>
    <n v="25.022109"/>
    <x v="1"/>
    <s v="ZTE"/>
    <x v="2"/>
    <x v="223"/>
  </r>
  <r>
    <s v="ANT-0989"/>
    <x v="6"/>
    <n v="-11.594525000000001"/>
    <n v="29.744895"/>
    <x v="2"/>
    <s v="ZTE"/>
    <x v="4"/>
    <x v="224"/>
  </r>
  <r>
    <s v="ANT-0990"/>
    <x v="7"/>
    <n v="-12.112399999999999"/>
    <n v="15.872226"/>
    <x v="0"/>
    <s v="Nokia"/>
    <x v="3"/>
    <x v="107"/>
  </r>
  <r>
    <s v="ANT-0991"/>
    <x v="25"/>
    <n v="-12.431227"/>
    <n v="18.414290999999999"/>
    <x v="1"/>
    <s v="Huawei"/>
    <x v="5"/>
    <x v="225"/>
  </r>
  <r>
    <s v="ANT-0993"/>
    <x v="16"/>
    <n v="-4.652463"/>
    <n v="18.779983999999999"/>
    <x v="2"/>
    <s v="Nokia"/>
    <x v="9"/>
    <x v="40"/>
  </r>
  <r>
    <s v="ANT-0994"/>
    <x v="11"/>
    <n v="-2.2681789999999999"/>
    <n v="25.699068"/>
    <x v="2"/>
    <s v="ZTE"/>
    <x v="4"/>
    <x v="226"/>
  </r>
  <r>
    <s v="ANT-0995"/>
    <x v="8"/>
    <n v="-7.5969509999999998"/>
    <n v="22.153986"/>
    <x v="2"/>
    <s v="Ericsson"/>
    <x v="4"/>
    <x v="135"/>
  </r>
  <r>
    <s v="ANT-0997"/>
    <x v="16"/>
    <n v="0.639208"/>
    <n v="20.701739"/>
    <x v="0"/>
    <s v="Huawei"/>
    <x v="5"/>
    <x v="227"/>
  </r>
  <r>
    <s v="ANT-1000"/>
    <x v="1"/>
    <n v="2.7298239999999998"/>
    <n v="12.958664000000001"/>
    <x v="2"/>
    <s v="ZTE"/>
    <x v="9"/>
    <x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97D82-6385-4370-9371-8C26914A2255}" name="Tableau croisé dynamique6" cacheId="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I33" firstHeaderRow="1" firstDataRow="3" firstDataCol="1"/>
  <pivotFields count="8">
    <pivotField showAll="0"/>
    <pivotField axis="axisRow" showAll="0">
      <items count="28">
        <item x="3"/>
        <item x="2"/>
        <item x="6"/>
        <item x="5"/>
        <item x="23"/>
        <item x="12"/>
        <item x="9"/>
        <item x="14"/>
        <item x="16"/>
        <item x="10"/>
        <item x="7"/>
        <item x="25"/>
        <item x="20"/>
        <item x="11"/>
        <item x="22"/>
        <item x="1"/>
        <item x="18"/>
        <item x="13"/>
        <item x="15"/>
        <item x="0"/>
        <item x="8"/>
        <item x="21"/>
        <item x="17"/>
        <item x="24"/>
        <item x="4"/>
        <item x="19"/>
        <item x="26"/>
        <item t="default"/>
      </items>
    </pivotField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dataField="1" showAll="0">
      <items count="13">
        <item x="5"/>
        <item x="4"/>
        <item x="2"/>
        <item x="3"/>
        <item x="0"/>
        <item x="1"/>
        <item x="7"/>
        <item x="6"/>
        <item x="8"/>
        <item x="10"/>
        <item x="11"/>
        <item x="9"/>
        <item t="default"/>
      </items>
    </pivotField>
    <pivotField dataField="1" showAll="0">
      <items count="229">
        <item x="146"/>
        <item x="190"/>
        <item x="141"/>
        <item x="210"/>
        <item x="105"/>
        <item x="173"/>
        <item x="131"/>
        <item x="209"/>
        <item x="207"/>
        <item x="153"/>
        <item x="215"/>
        <item x="204"/>
        <item x="155"/>
        <item x="128"/>
        <item x="81"/>
        <item x="92"/>
        <item x="119"/>
        <item x="126"/>
        <item x="97"/>
        <item x="120"/>
        <item x="212"/>
        <item x="150"/>
        <item x="102"/>
        <item x="124"/>
        <item x="123"/>
        <item x="136"/>
        <item x="101"/>
        <item x="13"/>
        <item x="216"/>
        <item x="179"/>
        <item x="218"/>
        <item x="138"/>
        <item x="88"/>
        <item x="195"/>
        <item x="130"/>
        <item x="171"/>
        <item x="157"/>
        <item x="125"/>
        <item x="159"/>
        <item x="98"/>
        <item x="163"/>
        <item x="186"/>
        <item x="175"/>
        <item x="196"/>
        <item x="90"/>
        <item x="188"/>
        <item x="219"/>
        <item x="187"/>
        <item x="93"/>
        <item x="221"/>
        <item x="122"/>
        <item x="63"/>
        <item x="170"/>
        <item x="167"/>
        <item x="87"/>
        <item x="176"/>
        <item x="147"/>
        <item x="89"/>
        <item x="139"/>
        <item x="166"/>
        <item x="193"/>
        <item x="225"/>
        <item x="129"/>
        <item x="191"/>
        <item x="96"/>
        <item x="211"/>
        <item x="112"/>
        <item x="94"/>
        <item x="148"/>
        <item x="143"/>
        <item x="142"/>
        <item x="115"/>
        <item x="110"/>
        <item x="68"/>
        <item x="106"/>
        <item x="114"/>
        <item x="116"/>
        <item x="227"/>
        <item x="95"/>
        <item x="85"/>
        <item x="91"/>
        <item x="145"/>
        <item x="127"/>
        <item x="52"/>
        <item x="133"/>
        <item x="165"/>
        <item x="134"/>
        <item x="103"/>
        <item x="104"/>
        <item x="16"/>
        <item x="202"/>
        <item x="3"/>
        <item x="154"/>
        <item x="220"/>
        <item x="144"/>
        <item x="34"/>
        <item x="213"/>
        <item x="177"/>
        <item x="82"/>
        <item x="108"/>
        <item x="222"/>
        <item x="151"/>
        <item x="161"/>
        <item x="140"/>
        <item x="164"/>
        <item x="27"/>
        <item x="178"/>
        <item x="135"/>
        <item x="149"/>
        <item x="11"/>
        <item x="156"/>
        <item x="182"/>
        <item x="113"/>
        <item x="111"/>
        <item x="217"/>
        <item x="162"/>
        <item x="205"/>
        <item x="74"/>
        <item x="79"/>
        <item x="137"/>
        <item x="224"/>
        <item x="99"/>
        <item x="181"/>
        <item x="201"/>
        <item x="203"/>
        <item x="29"/>
        <item x="121"/>
        <item x="208"/>
        <item x="160"/>
        <item x="41"/>
        <item x="180"/>
        <item x="12"/>
        <item x="169"/>
        <item x="132"/>
        <item x="57"/>
        <item x="50"/>
        <item x="62"/>
        <item x="172"/>
        <item x="5"/>
        <item x="199"/>
        <item x="118"/>
        <item x="7"/>
        <item x="158"/>
        <item x="20"/>
        <item x="152"/>
        <item x="64"/>
        <item x="206"/>
        <item x="197"/>
        <item x="226"/>
        <item x="73"/>
        <item x="109"/>
        <item x="200"/>
        <item x="168"/>
        <item x="100"/>
        <item x="38"/>
        <item x="76"/>
        <item x="6"/>
        <item x="223"/>
        <item x="107"/>
        <item x="54"/>
        <item x="4"/>
        <item x="0"/>
        <item x="9"/>
        <item x="72"/>
        <item x="53"/>
        <item x="117"/>
        <item x="43"/>
        <item x="189"/>
        <item x="19"/>
        <item x="86"/>
        <item x="28"/>
        <item x="198"/>
        <item x="2"/>
        <item x="8"/>
        <item x="214"/>
        <item x="185"/>
        <item x="192"/>
        <item x="70"/>
        <item x="174"/>
        <item x="33"/>
        <item x="49"/>
        <item x="78"/>
        <item x="46"/>
        <item x="23"/>
        <item x="77"/>
        <item x="26"/>
        <item x="56"/>
        <item x="31"/>
        <item x="10"/>
        <item x="25"/>
        <item x="184"/>
        <item x="1"/>
        <item x="44"/>
        <item x="39"/>
        <item x="61"/>
        <item x="37"/>
        <item x="83"/>
        <item x="24"/>
        <item x="183"/>
        <item x="194"/>
        <item x="17"/>
        <item x="55"/>
        <item x="45"/>
        <item x="30"/>
        <item x="51"/>
        <item x="75"/>
        <item x="60"/>
        <item x="18"/>
        <item x="47"/>
        <item x="14"/>
        <item x="66"/>
        <item x="71"/>
        <item x="69"/>
        <item x="15"/>
        <item x="36"/>
        <item x="32"/>
        <item x="80"/>
        <item x="42"/>
        <item x="59"/>
        <item x="21"/>
        <item x="84"/>
        <item x="22"/>
        <item x="67"/>
        <item x="48"/>
        <item x="58"/>
        <item x="65"/>
        <item x="35"/>
        <item x="40"/>
        <item t="default"/>
      </items>
    </pivotField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2">
    <field x="-2"/>
    <field x="4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colItems>
  <dataFields count="2">
    <dataField name="Moyenne de Nbre_Abonnés_Impactés" fld="6" subtotal="average" baseField="1" baseItem="20" numFmtId="165"/>
    <dataField name="Somme de Durée_Total_panne_Min" fld="7" baseField="1" baseItem="20"/>
  </dataFields>
  <formats count="62"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-2" type="button" dataOnly="0" labelOnly="1" outline="0" axis="axisCol" fieldPosition="0"/>
    </format>
    <format dxfId="57">
      <pivotArea field="4" type="button" dataOnly="0" labelOnly="1" outline="0" axis="axisCol" fieldPosition="1"/>
    </format>
    <format dxfId="56">
      <pivotArea type="topRight" dataOnly="0" labelOnly="1" outline="0" fieldPosition="0"/>
    </format>
    <format dxfId="55">
      <pivotArea field="1" type="button" dataOnly="0" labelOnly="1" outline="0" axis="axisRow" fieldPosition="0"/>
    </format>
    <format dxfId="54">
      <pivotArea dataOnly="0" labelOnly="1" fieldPosition="0">
        <references count="1">
          <reference field="1" count="0"/>
        </references>
      </pivotArea>
    </format>
    <format dxfId="53">
      <pivotArea dataOnly="0" labelOnly="1" grandRow="1" outline="0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field="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50">
      <pivotArea field="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49">
      <pivotArea dataOnly="0" labelOnly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48">
      <pivotArea dataOnly="0" labelOnly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-2" type="button" dataOnly="0" labelOnly="1" outline="0" axis="axisCol" fieldPosition="0"/>
    </format>
    <format dxfId="43">
      <pivotArea field="4" type="button" dataOnly="0" labelOnly="1" outline="0" axis="axisCol" fieldPosition="1"/>
    </format>
    <format dxfId="42">
      <pivotArea type="topRight" dataOnly="0" labelOnly="1" outline="0" fieldPosition="0"/>
    </format>
    <format dxfId="41">
      <pivotArea field="1" type="button" dataOnly="0" labelOnly="1" outline="0" axis="axisRow" fieldPosition="0"/>
    </format>
    <format dxfId="40">
      <pivotArea dataOnly="0" labelOnly="1" fieldPosition="0">
        <references count="1">
          <reference field="1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field="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36">
      <pivotArea field="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35">
      <pivotArea dataOnly="0" labelOnly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34">
      <pivotArea dataOnly="0" labelOnly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-2" type="button" dataOnly="0" labelOnly="1" outline="0" axis="axisCol" fieldPosition="0"/>
    </format>
    <format dxfId="29">
      <pivotArea field="4" type="button" dataOnly="0" labelOnly="1" outline="0" axis="axisCol" fieldPosition="1"/>
    </format>
    <format dxfId="28">
      <pivotArea type="topRight" dataOnly="0" labelOnly="1" outline="0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field="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2">
      <pivotArea field="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21">
      <pivotArea dataOnly="0" labelOnly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20">
      <pivotArea dataOnly="0" labelOnly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19">
      <pivotArea type="all" dataOnly="0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outline="0" fieldPosition="0">
        <references count="1">
          <reference field="4294967294" count="1">
            <x v="0"/>
          </reference>
        </references>
      </pivotArea>
    </format>
    <format dxfId="16">
      <pivotArea dataOnly="0" labelOnly="1" outline="0" offset="B256" fieldPosition="0">
        <references count="1">
          <reference field="4294967294" count="1">
            <x v="0"/>
          </reference>
        </references>
      </pivotArea>
    </format>
    <format dxfId="15">
      <pivotArea dataOnly="0" labelOnly="1" outline="0" offset="B256" fieldPosition="0">
        <references count="1">
          <reference field="4294967294" count="1">
            <x v="1"/>
          </reference>
        </references>
      </pivotArea>
    </format>
    <format dxfId="14">
      <pivotArea dataOnly="0" labelOnly="1" outline="0" offset="A256" fieldPosition="0">
        <references count="1">
          <reference field="4294967294" count="1">
            <x v="1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-2" type="button" dataOnly="0" labelOnly="1" outline="0" axis="axisCol" fieldPosition="0"/>
    </format>
    <format dxfId="9">
      <pivotArea field="4" type="button" dataOnly="0" labelOnly="1" outline="0" axis="axisCol" fieldPosition="1"/>
    </format>
    <format dxfId="8">
      <pivotArea type="topRight" dataOnly="0" labelOnly="1" outline="0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">
      <pivotArea field="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">
      <pivotArea dataOnly="0" labelOnly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0">
      <pivotArea dataOnly="0" labelOnly="1" fieldPosition="0">
        <references count="2">
          <reference field="4294967294" count="1" selected="0">
            <x v="1"/>
          </reference>
          <reference field="4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F2A90DD-4D5F-4BE0-9CE3-320AF3B7F9A7}" autoFormatId="16" applyNumberFormats="0" applyBorderFormats="0" applyFontFormats="0" applyPatternFormats="0" applyAlignmentFormats="0" applyWidthHeightFormats="0">
  <queryTableRefresh nextId="17" unboundColumnsRight="2">
    <queryTableFields count="9">
      <queryTableField id="2" name="ID_Client" tableColumnId="2"/>
      <queryTableField id="3" name="Province_Client" tableColumnId="3"/>
      <queryTableField id="5" name="Type_Forfait" tableColumnId="5"/>
      <queryTableField id="7" name="Facture_Mensuelle" tableColumnId="7"/>
      <queryTableField id="9" name="Ancienneté_Année" tableColumnId="9"/>
      <queryTableField id="10" name="Durée_Cumulée_Panne_Heure" tableColumnId="10"/>
      <queryTableField id="8" name="Plaintes_Service_Client" tableColumnId="8"/>
      <queryTableField id="11" dataBound="0" tableColumnId="11"/>
      <queryTableField id="15" dataBound="0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D1CB3B-8A69-4041-ADBE-EC4C04644E33}" name="Tableau2" displayName="Tableau2" ref="A1:H501" totalsRowShown="0" headerRowDxfId="100" dataDxfId="99" tableBorderDxfId="98">
  <autoFilter ref="A1:H501" xr:uid="{E2D1CB3B-8A69-4041-ADBE-EC4C04644E33}"/>
  <tableColumns count="8">
    <tableColumn id="1" xr3:uid="{5F58E361-321F-4B27-80EC-361B927C9AFD}" name="ID_Antenne" dataDxfId="97" totalsRowDxfId="96"/>
    <tableColumn id="2" xr3:uid="{234CD4B1-C0FA-42C7-B563-C9C27888CEE0}" name="Province_RDC" dataDxfId="95" totalsRowDxfId="94"/>
    <tableColumn id="3" xr3:uid="{316416CD-6F8C-4914-9317-6AED3248C192}" name="Latitude" dataDxfId="93" totalsRowDxfId="92"/>
    <tableColumn id="4" xr3:uid="{E6AB13E8-7606-4A9B-99ED-F7AF82DDD618}" name="Longitude" dataDxfId="91" totalsRowDxfId="90"/>
    <tableColumn id="5" xr3:uid="{EC27FDB3-AA00-4BBC-819C-EDC73DD3F2B8}" name="Technologie" dataDxfId="89" totalsRowDxfId="88"/>
    <tableColumn id="6" xr3:uid="{06F0039C-0CE5-452B-93AD-C1633867830A}" name="Equipementier" dataDxfId="87" totalsRowDxfId="86"/>
    <tableColumn id="7" xr3:uid="{28163925-016E-4BB3-8BEC-ABEB232655B5}" name="Nbre_Abonnés_Impactés" dataDxfId="85" totalsRowDxfId="84">
      <calculatedColumnFormula>IFERROR(_xlfn.XLOOKUP([1]!Registre[[#This Row],[ID_Antenne]],[1]Log_Réseaux!B:B,[1]Log_Réseaux!C:C),"NA")</calculatedColumnFormula>
    </tableColumn>
    <tableColumn id="8" xr3:uid="{75339BF9-5513-46ED-B41A-4CE65D2766BE}" name="Durée_Total_panne_Min" dataDxfId="83" totalsRowDxfId="82">
      <calculatedColumnFormula>IFERROR(_xlfn.XLOOKUP([1]!Registre[[#This Row],[ID_Antenne]],[1]Log_Réseaux!B:B,[1]Log_Réseaux!D:D),"NA")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4AC6B-EAAB-4ABC-BDD1-BFF127A79015}" name="Clients" displayName="Clients" ref="A1:I752" tableType="queryTable" totalsRowCount="1" headerRowDxfId="81" dataDxfId="80">
  <autoFilter ref="A1:I751" xr:uid="{4D74AC6B-EAAB-4ABC-BDD1-BFF127A79015}"/>
  <tableColumns count="9">
    <tableColumn id="2" xr3:uid="{CF5CA940-D92D-42FE-A0C8-7A122A936173}" uniqueName="2" name="ID_Client" totalsRowLabel="TOTAL" queryTableFieldId="2" dataDxfId="79" totalsRowDxfId="78"/>
    <tableColumn id="3" xr3:uid="{788C923F-586F-4E3C-8662-B9544DC73F33}" uniqueName="3" name="Province_Client" queryTableFieldId="3" dataDxfId="77" totalsRowDxfId="76"/>
    <tableColumn id="5" xr3:uid="{8C7E6F56-D413-491E-A70F-5FA19BFF443D}" uniqueName="5" name="Type_Forfait" queryTableFieldId="5" dataDxfId="75" totalsRowDxfId="74"/>
    <tableColumn id="7" xr3:uid="{D3F3EF40-C55A-4247-B5BB-BFA121A12B18}" uniqueName="7" name="Facture_Mensuelle" totalsRowFunction="custom" queryTableFieldId="7" dataDxfId="73" totalsRowDxfId="72">
      <totalsRowFormula>SUM(D2:D751)</totalsRowFormula>
    </tableColumn>
    <tableColumn id="9" xr3:uid="{C62A05F2-AC6D-40D2-A73E-0075227EDBE1}" uniqueName="9" name="Ancienneté_Année" totalsRowFunction="sum" queryTableFieldId="9" dataDxfId="71" totalsRowDxfId="70"/>
    <tableColumn id="10" xr3:uid="{59BFEBFE-A97A-40DD-A179-3F49537390C2}" uniqueName="10" name="Durée_Cumulée_Panne_Heure" totalsRowFunction="sum" queryTableFieldId="10" dataDxfId="69" totalsRowDxfId="68"/>
    <tableColumn id="8" xr3:uid="{D4A5E189-3381-4A31-8123-22C8B660956C}" uniqueName="8" name="Plaintes_Service_Client" totalsRowFunction="sum" queryTableFieldId="8" dataDxfId="67" totalsRowDxfId="66"/>
    <tableColumn id="11" xr3:uid="{7584792E-8E2F-40FB-A811-39B3BA5B59C9}" uniqueName="11" name="Remise" queryTableFieldId="11" dataDxfId="65" totalsRowDxfId="64">
      <calculatedColumnFormula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calculatedColumnFormula>
    </tableColumn>
    <tableColumn id="1" xr3:uid="{B89446A0-36FF-4832-BF7F-317AC1C66CD6}" uniqueName="1" name="Perte_Financière" totalsRowFunction="sum" queryTableFieldId="15" dataDxfId="63" totalsRowDxfId="62">
      <calculatedColumnFormula>Clients[[#This Row],[Facture_Mensuelle]]*Clients[[#This Row],[Remise]]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9D95-2DC7-4EAE-A497-C773EAB2DDFA}">
  <dimension ref="A1:H501"/>
  <sheetViews>
    <sheetView workbookViewId="0">
      <selection activeCell="I7" sqref="I7"/>
    </sheetView>
  </sheetViews>
  <sheetFormatPr baseColWidth="10" defaultRowHeight="13.2" x14ac:dyDescent="0.25"/>
  <cols>
    <col min="1" max="1" width="15.109375" bestFit="1" customWidth="1"/>
    <col min="2" max="2" width="17.88671875" bestFit="1" customWidth="1"/>
    <col min="3" max="3" width="12.44140625" bestFit="1" customWidth="1"/>
    <col min="4" max="4" width="13.88671875" bestFit="1" customWidth="1"/>
    <col min="5" max="5" width="15.5546875" bestFit="1" customWidth="1"/>
    <col min="6" max="6" width="17.77734375" bestFit="1" customWidth="1"/>
    <col min="7" max="7" width="26" bestFit="1" customWidth="1"/>
    <col min="8" max="8" width="26.21875" bestFit="1" customWidth="1"/>
  </cols>
  <sheetData>
    <row r="1" spans="1:8" s="2" customFormat="1" x14ac:dyDescent="0.25">
      <c r="A1" s="8" t="s">
        <v>1296</v>
      </c>
      <c r="B1" s="8" t="s">
        <v>1297</v>
      </c>
      <c r="C1" s="8" t="s">
        <v>1298</v>
      </c>
      <c r="D1" s="8" t="s">
        <v>1299</v>
      </c>
      <c r="E1" s="8" t="s">
        <v>1300</v>
      </c>
      <c r="F1" s="8" t="s">
        <v>1301</v>
      </c>
      <c r="G1" s="8" t="s">
        <v>1302</v>
      </c>
      <c r="H1" s="8" t="s">
        <v>1303</v>
      </c>
    </row>
    <row r="2" spans="1:8" x14ac:dyDescent="0.25">
      <c r="A2" s="6" t="s">
        <v>789</v>
      </c>
      <c r="B2" s="6" t="s">
        <v>72</v>
      </c>
      <c r="C2" s="6">
        <v>-8.1437910000000002</v>
      </c>
      <c r="D2" s="6">
        <v>28.946161</v>
      </c>
      <c r="E2" s="6" t="s">
        <v>790</v>
      </c>
      <c r="F2" s="6" t="s">
        <v>791</v>
      </c>
      <c r="G2" s="7">
        <f>IFERROR(_xlfn.XLOOKUP([1]!Registre[[#This Row],[ID_Antenne]],[1]Log_Réseaux!B:B,[1]Log_Réseaux!C:C),"NA")</f>
        <v>5</v>
      </c>
      <c r="H2" s="7">
        <f>IFERROR(_xlfn.XLOOKUP([1]!Registre[[#This Row],[ID_Antenne]],[1]Log_Réseaux!B:B,[1]Log_Réseaux!D:D),"NA")</f>
        <v>252</v>
      </c>
    </row>
    <row r="3" spans="1:8" x14ac:dyDescent="0.25">
      <c r="A3" s="6" t="s">
        <v>792</v>
      </c>
      <c r="B3" s="6" t="s">
        <v>57</v>
      </c>
      <c r="C3" s="6">
        <v>-10.442425</v>
      </c>
      <c r="D3" s="6">
        <v>23.243632000000002</v>
      </c>
      <c r="E3" s="6" t="s">
        <v>790</v>
      </c>
      <c r="F3" s="6" t="s">
        <v>793</v>
      </c>
      <c r="G3" s="7">
        <f>IFERROR(_xlfn.XLOOKUP([1]!Registre[[#This Row],[ID_Antenne]],[1]Log_Réseaux!B:B,[1]Log_Réseaux!C:C),"NA")</f>
        <v>6</v>
      </c>
      <c r="H3" s="7">
        <f>IFERROR(_xlfn.XLOOKUP([1]!Registre[[#This Row],[ID_Antenne]],[1]Log_Réseaux!B:B,[1]Log_Réseaux!D:D),"NA")</f>
        <v>356</v>
      </c>
    </row>
    <row r="4" spans="1:8" x14ac:dyDescent="0.25">
      <c r="A4" s="6" t="s">
        <v>794</v>
      </c>
      <c r="B4" s="6" t="s">
        <v>59</v>
      </c>
      <c r="C4" s="6">
        <v>-3.544581</v>
      </c>
      <c r="D4" s="6">
        <v>14.776605</v>
      </c>
      <c r="E4" s="6" t="s">
        <v>790</v>
      </c>
      <c r="F4" s="6" t="s">
        <v>793</v>
      </c>
      <c r="G4" s="7">
        <f>IFERROR(_xlfn.XLOOKUP([1]!Registre[[#This Row],[ID_Antenne]],[1]Log_Réseaux!B:B,[1]Log_Réseaux!C:C),"NA")</f>
        <v>6</v>
      </c>
      <c r="H4" s="7">
        <f>IFERROR(_xlfn.XLOOKUP([1]!Registre[[#This Row],[ID_Antenne]],[1]Log_Réseaux!B:B,[1]Log_Réseaux!D:D),"NA")</f>
        <v>281</v>
      </c>
    </row>
    <row r="5" spans="1:8" x14ac:dyDescent="0.25">
      <c r="A5" s="6" t="s">
        <v>795</v>
      </c>
      <c r="B5" s="6" t="s">
        <v>22</v>
      </c>
      <c r="C5" s="6">
        <v>-2.8532869999999999</v>
      </c>
      <c r="D5" s="6">
        <v>22.117896000000002</v>
      </c>
      <c r="E5" s="6" t="s">
        <v>796</v>
      </c>
      <c r="F5" s="6" t="s">
        <v>797</v>
      </c>
      <c r="G5" s="7">
        <f>IFERROR(_xlfn.XLOOKUP([1]!Registre[[#This Row],[ID_Antenne]],[1]Log_Réseaux!B:B,[1]Log_Réseaux!C:C),"NA")</f>
        <v>3</v>
      </c>
      <c r="H5" s="7">
        <f>IFERROR(_xlfn.XLOOKUP([1]!Registre[[#This Row],[ID_Antenne]],[1]Log_Réseaux!B:B,[1]Log_Réseaux!D:D),"NA")</f>
        <v>132</v>
      </c>
    </row>
    <row r="6" spans="1:8" x14ac:dyDescent="0.25">
      <c r="A6" s="6" t="s">
        <v>798</v>
      </c>
      <c r="B6" s="6" t="s">
        <v>65</v>
      </c>
      <c r="C6" s="6">
        <v>4.7777349999999998</v>
      </c>
      <c r="D6" s="6">
        <v>16.392204</v>
      </c>
      <c r="E6" s="6" t="s">
        <v>796</v>
      </c>
      <c r="F6" s="6" t="s">
        <v>791</v>
      </c>
      <c r="G6" s="7">
        <f>IFERROR(_xlfn.XLOOKUP([1]!Registre[[#This Row],[ID_Antenne]],[1]Log_Réseaux!B:B,[1]Log_Réseaux!C:C),"NA")</f>
        <v>4</v>
      </c>
      <c r="H6" s="7">
        <f>IFERROR(_xlfn.XLOOKUP([1]!Registre[[#This Row],[ID_Antenne]],[1]Log_Réseaux!B:B,[1]Log_Réseaux!D:D),"NA")</f>
        <v>250</v>
      </c>
    </row>
    <row r="7" spans="1:8" x14ac:dyDescent="0.25">
      <c r="A7" s="6" t="s">
        <v>799</v>
      </c>
      <c r="B7" s="6" t="s">
        <v>18</v>
      </c>
      <c r="C7" s="6">
        <v>-11.89448</v>
      </c>
      <c r="D7" s="6">
        <v>19.216214999999998</v>
      </c>
      <c r="E7" s="6" t="s">
        <v>800</v>
      </c>
      <c r="F7" s="6" t="s">
        <v>791</v>
      </c>
      <c r="G7" s="7">
        <f>IFERROR(_xlfn.XLOOKUP([1]!Registre[[#This Row],[ID_Antenne]],[1]Log_Réseaux!B:B,[1]Log_Réseaux!C:C),"NA")</f>
        <v>4</v>
      </c>
      <c r="H7" s="7">
        <f>IFERROR(_xlfn.XLOOKUP([1]!Registre[[#This Row],[ID_Antenne]],[1]Log_Réseaux!B:B,[1]Log_Réseaux!D:D),"NA")</f>
        <v>203</v>
      </c>
    </row>
    <row r="8" spans="1:8" x14ac:dyDescent="0.25">
      <c r="A8" s="6" t="s">
        <v>801</v>
      </c>
      <c r="B8" s="6" t="s">
        <v>44</v>
      </c>
      <c r="C8" s="6">
        <v>4.4712560000000003</v>
      </c>
      <c r="D8" s="6">
        <v>27.107028</v>
      </c>
      <c r="E8" s="6" t="s">
        <v>800</v>
      </c>
      <c r="F8" s="6" t="s">
        <v>802</v>
      </c>
      <c r="G8" s="7">
        <f>IFERROR(_xlfn.XLOOKUP([1]!Registre[[#This Row],[ID_Antenne]],[1]Log_Réseaux!B:B,[1]Log_Réseaux!C:C),"NA")</f>
        <v>3</v>
      </c>
      <c r="H8" s="7">
        <f>IFERROR(_xlfn.XLOOKUP([1]!Registre[[#This Row],[ID_Antenne]],[1]Log_Réseaux!B:B,[1]Log_Réseaux!D:D),"NA")</f>
        <v>230</v>
      </c>
    </row>
    <row r="9" spans="1:8" x14ac:dyDescent="0.25">
      <c r="A9" s="6" t="s">
        <v>803</v>
      </c>
      <c r="B9" s="6" t="s">
        <v>57</v>
      </c>
      <c r="C9" s="6">
        <v>-1.607639</v>
      </c>
      <c r="D9" s="6">
        <v>17.003636</v>
      </c>
      <c r="E9" s="6" t="s">
        <v>790</v>
      </c>
      <c r="F9" s="6" t="s">
        <v>802</v>
      </c>
      <c r="G9" s="7">
        <f>IFERROR(_xlfn.XLOOKUP([1]!Registre[[#This Row],[ID_Antenne]],[1]Log_Réseaux!B:B,[1]Log_Réseaux!C:C),"NA")</f>
        <v>4</v>
      </c>
      <c r="H9" s="7">
        <f>IFERROR(_xlfn.XLOOKUP([1]!Registre[[#This Row],[ID_Antenne]],[1]Log_Réseaux!B:B,[1]Log_Réseaux!D:D),"NA")</f>
        <v>208</v>
      </c>
    </row>
    <row r="10" spans="1:8" x14ac:dyDescent="0.25">
      <c r="A10" s="6" t="s">
        <v>804</v>
      </c>
      <c r="B10" s="6" t="s">
        <v>15</v>
      </c>
      <c r="C10" s="6">
        <v>2.9836019999999999</v>
      </c>
      <c r="D10" s="6">
        <v>21.893065</v>
      </c>
      <c r="E10" s="6" t="s">
        <v>796</v>
      </c>
      <c r="F10" s="6" t="s">
        <v>793</v>
      </c>
      <c r="G10" s="7">
        <f>IFERROR(_xlfn.XLOOKUP([1]!Registre[[#This Row],[ID_Antenne]],[1]Log_Réseaux!B:B,[1]Log_Réseaux!C:C),"NA")</f>
        <v>4</v>
      </c>
      <c r="H10" s="7">
        <f>IFERROR(_xlfn.XLOOKUP([1]!Registre[[#This Row],[ID_Antenne]],[1]Log_Réseaux!B:B,[1]Log_Réseaux!D:D),"NA")</f>
        <v>283</v>
      </c>
    </row>
    <row r="11" spans="1:8" x14ac:dyDescent="0.25">
      <c r="A11" s="6" t="s">
        <v>805</v>
      </c>
      <c r="B11" s="6" t="s">
        <v>105</v>
      </c>
      <c r="C11" s="6">
        <v>-3.419035</v>
      </c>
      <c r="D11" s="6">
        <v>29.018315999999999</v>
      </c>
      <c r="E11" s="6" t="s">
        <v>796</v>
      </c>
      <c r="F11" s="6" t="s">
        <v>802</v>
      </c>
      <c r="G11" s="7">
        <f>IFERROR(_xlfn.XLOOKUP([1]!Registre[[#This Row],[ID_Antenne]],[1]Log_Réseaux!B:B,[1]Log_Réseaux!C:C),"NA")</f>
        <v>3</v>
      </c>
      <c r="H11" s="7">
        <f>IFERROR(_xlfn.XLOOKUP([1]!Registre[[#This Row],[ID_Antenne]],[1]Log_Réseaux!B:B,[1]Log_Réseaux!D:D),"NA")</f>
        <v>254</v>
      </c>
    </row>
    <row r="12" spans="1:8" x14ac:dyDescent="0.25">
      <c r="A12" s="6" t="s">
        <v>806</v>
      </c>
      <c r="B12" s="6" t="s">
        <v>42</v>
      </c>
      <c r="C12" s="6">
        <v>-10.059846</v>
      </c>
      <c r="D12" s="6">
        <v>14.375757999999999</v>
      </c>
      <c r="E12" s="6" t="s">
        <v>790</v>
      </c>
      <c r="F12" s="6" t="s">
        <v>797</v>
      </c>
      <c r="G12" s="7">
        <f>IFERROR(_xlfn.XLOOKUP([1]!Registre[[#This Row],[ID_Antenne]],[1]Log_Réseaux!B:B,[1]Log_Réseaux!C:C),"NA")</f>
        <v>6</v>
      </c>
      <c r="H12" s="7">
        <f>IFERROR(_xlfn.XLOOKUP([1]!Registre[[#This Row],[ID_Antenne]],[1]Log_Réseaux!B:B,[1]Log_Réseaux!D:D),"NA")</f>
        <v>340</v>
      </c>
    </row>
    <row r="13" spans="1:8" x14ac:dyDescent="0.25">
      <c r="A13" s="6" t="s">
        <v>807</v>
      </c>
      <c r="B13" s="6" t="s">
        <v>18</v>
      </c>
      <c r="C13" s="6">
        <v>-9.7801860000000005</v>
      </c>
      <c r="D13" s="6">
        <v>16.649550000000001</v>
      </c>
      <c r="E13" s="6" t="s">
        <v>796</v>
      </c>
      <c r="F13" s="6" t="s">
        <v>802</v>
      </c>
      <c r="G13" s="7">
        <f>IFERROR(_xlfn.XLOOKUP([1]!Registre[[#This Row],[ID_Antenne]],[1]Log_Réseaux!B:B,[1]Log_Réseaux!C:C),"NA")</f>
        <v>2</v>
      </c>
      <c r="H13" s="7">
        <f>IFERROR(_xlfn.XLOOKUP([1]!Registre[[#This Row],[ID_Antenne]],[1]Log_Réseaux!B:B,[1]Log_Réseaux!D:D),"NA")</f>
        <v>153</v>
      </c>
    </row>
    <row r="14" spans="1:8" x14ac:dyDescent="0.25">
      <c r="A14" s="6" t="s">
        <v>808</v>
      </c>
      <c r="B14" s="6" t="s">
        <v>97</v>
      </c>
      <c r="C14" s="6">
        <v>-10.227569000000001</v>
      </c>
      <c r="D14" s="6">
        <v>18.887930999999998</v>
      </c>
      <c r="E14" s="6" t="s">
        <v>800</v>
      </c>
      <c r="F14" s="6" t="s">
        <v>791</v>
      </c>
      <c r="G14" s="7">
        <f>IFERROR(_xlfn.XLOOKUP([1]!Registre[[#This Row],[ID_Antenne]],[1]Log_Réseaux!B:B,[1]Log_Réseaux!C:C),"NA")</f>
        <v>3</v>
      </c>
      <c r="H14" s="7">
        <f>IFERROR(_xlfn.XLOOKUP([1]!Registre[[#This Row],[ID_Antenne]],[1]Log_Réseaux!B:B,[1]Log_Réseaux!D:D),"NA")</f>
        <v>189</v>
      </c>
    </row>
    <row r="15" spans="1:8" x14ac:dyDescent="0.25">
      <c r="A15" s="6" t="s">
        <v>809</v>
      </c>
      <c r="B15" s="6" t="s">
        <v>34</v>
      </c>
      <c r="C15" s="6">
        <v>-11.266565999999999</v>
      </c>
      <c r="D15" s="6">
        <v>26.245055000000001</v>
      </c>
      <c r="E15" s="6" t="s">
        <v>800</v>
      </c>
      <c r="F15" s="6" t="s">
        <v>802</v>
      </c>
      <c r="G15" s="7">
        <f>IFERROR(_xlfn.XLOOKUP([1]!Registre[[#This Row],[ID_Antenne]],[1]Log_Réseaux!B:B,[1]Log_Réseaux!C:C),"NA")</f>
        <v>1</v>
      </c>
      <c r="H15" s="7">
        <f>IFERROR(_xlfn.XLOOKUP([1]!Registre[[#This Row],[ID_Antenne]],[1]Log_Réseaux!B:B,[1]Log_Réseaux!D:D),"NA")</f>
        <v>46</v>
      </c>
    </row>
    <row r="16" spans="1:8" x14ac:dyDescent="0.25">
      <c r="A16" s="6" t="s">
        <v>810</v>
      </c>
      <c r="B16" s="6" t="s">
        <v>18</v>
      </c>
      <c r="C16" s="6">
        <v>-6.3324319999999998</v>
      </c>
      <c r="D16" s="6">
        <v>24.887858000000001</v>
      </c>
      <c r="E16" s="6" t="s">
        <v>790</v>
      </c>
      <c r="F16" s="6" t="s">
        <v>791</v>
      </c>
      <c r="G16" s="7">
        <f>IFERROR(_xlfn.XLOOKUP([1]!Registre[[#This Row],[ID_Antenne]],[1]Log_Réseaux!B:B,[1]Log_Réseaux!C:C),"NA")</f>
        <v>8</v>
      </c>
      <c r="H16" s="7">
        <f>IFERROR(_xlfn.XLOOKUP([1]!Registre[[#This Row],[ID_Antenne]],[1]Log_Réseaux!B:B,[1]Log_Réseaux!D:D),"NA")</f>
        <v>447</v>
      </c>
    </row>
    <row r="17" spans="1:8" x14ac:dyDescent="0.25">
      <c r="A17" s="6" t="s">
        <v>811</v>
      </c>
      <c r="B17" s="6" t="s">
        <v>30</v>
      </c>
      <c r="C17" s="6">
        <v>-7.0076900000000002</v>
      </c>
      <c r="D17" s="6">
        <v>27.367121999999998</v>
      </c>
      <c r="E17" s="6" t="s">
        <v>800</v>
      </c>
      <c r="F17" s="6" t="s">
        <v>793</v>
      </c>
      <c r="G17" s="7">
        <f>IFERROR(_xlfn.XLOOKUP([1]!Registre[[#This Row],[ID_Antenne]],[1]Log_Réseaux!B:B,[1]Log_Réseaux!C:C),"NA")</f>
        <v>7</v>
      </c>
      <c r="H17" s="7">
        <f>IFERROR(_xlfn.XLOOKUP([1]!Registre[[#This Row],[ID_Antenne]],[1]Log_Réseaux!B:B,[1]Log_Réseaux!D:D),"NA")</f>
        <v>471</v>
      </c>
    </row>
    <row r="18" spans="1:8" x14ac:dyDescent="0.25">
      <c r="A18" s="6" t="s">
        <v>812</v>
      </c>
      <c r="B18" s="6" t="s">
        <v>30</v>
      </c>
      <c r="C18" s="6">
        <v>-0.767455</v>
      </c>
      <c r="D18" s="6">
        <v>30.924261000000001</v>
      </c>
      <c r="E18" s="6" t="s">
        <v>800</v>
      </c>
      <c r="F18" s="6" t="s">
        <v>797</v>
      </c>
      <c r="G18" s="7">
        <f>IFERROR(_xlfn.XLOOKUP([1]!Registre[[#This Row],[ID_Antenne]],[1]Log_Réseaux!B:B,[1]Log_Réseaux!C:C),"NA")</f>
        <v>2</v>
      </c>
      <c r="H18" s="7">
        <f>IFERROR(_xlfn.XLOOKUP([1]!Registre[[#This Row],[ID_Antenne]],[1]Log_Réseaux!B:B,[1]Log_Réseaux!D:D),"NA")</f>
        <v>128</v>
      </c>
    </row>
    <row r="19" spans="1:8" x14ac:dyDescent="0.25">
      <c r="A19" s="6" t="s">
        <v>813</v>
      </c>
      <c r="B19" s="6" t="s">
        <v>12</v>
      </c>
      <c r="C19" s="6">
        <v>4.0988100000000003</v>
      </c>
      <c r="D19" s="6">
        <v>29.843810999999999</v>
      </c>
      <c r="E19" s="6" t="s">
        <v>800</v>
      </c>
      <c r="F19" s="6" t="s">
        <v>797</v>
      </c>
      <c r="G19" s="7">
        <f>IFERROR(_xlfn.XLOOKUP([1]!Registre[[#This Row],[ID_Antenne]],[1]Log_Réseaux!B:B,[1]Log_Réseaux!C:C),"NA")</f>
        <v>5</v>
      </c>
      <c r="H19" s="7">
        <f>IFERROR(_xlfn.XLOOKUP([1]!Registre[[#This Row],[ID_Antenne]],[1]Log_Réseaux!B:B,[1]Log_Réseaux!D:D),"NA")</f>
        <v>400</v>
      </c>
    </row>
    <row r="20" spans="1:8" x14ac:dyDescent="0.25">
      <c r="A20" s="6" t="s">
        <v>814</v>
      </c>
      <c r="B20" s="6" t="s">
        <v>65</v>
      </c>
      <c r="C20" s="6">
        <v>1.472051</v>
      </c>
      <c r="D20" s="6">
        <v>17.36289</v>
      </c>
      <c r="E20" s="6" t="s">
        <v>790</v>
      </c>
      <c r="F20" s="6" t="s">
        <v>797</v>
      </c>
      <c r="G20" s="7">
        <f>IFERROR(_xlfn.XLOOKUP([1]!Registre[[#This Row],[ID_Antenne]],[1]Log_Réseaux!B:B,[1]Log_Réseaux!C:C),"NA")</f>
        <v>5</v>
      </c>
      <c r="H20" s="7">
        <f>IFERROR(_xlfn.XLOOKUP([1]!Registre[[#This Row],[ID_Antenne]],[1]Log_Réseaux!B:B,[1]Log_Réseaux!D:D),"NA")</f>
        <v>444</v>
      </c>
    </row>
    <row r="21" spans="1:8" x14ac:dyDescent="0.25">
      <c r="A21" s="6" t="s">
        <v>815</v>
      </c>
      <c r="B21" s="6" t="s">
        <v>44</v>
      </c>
      <c r="C21" s="6">
        <v>0.16841400000000001</v>
      </c>
      <c r="D21" s="6">
        <v>30.029876999999999</v>
      </c>
      <c r="E21" s="6" t="s">
        <v>796</v>
      </c>
      <c r="F21" s="6" t="s">
        <v>797</v>
      </c>
      <c r="G21" s="7">
        <f>IFERROR(_xlfn.XLOOKUP([1]!Registre[[#This Row],[ID_Antenne]],[1]Log_Réseaux!B:B,[1]Log_Réseaux!C:C),"NA")</f>
        <v>3</v>
      </c>
      <c r="H21" s="7">
        <f>IFERROR(_xlfn.XLOOKUP([1]!Registre[[#This Row],[ID_Antenne]],[1]Log_Réseaux!B:B,[1]Log_Réseaux!D:D),"NA")</f>
        <v>268</v>
      </c>
    </row>
    <row r="22" spans="1:8" x14ac:dyDescent="0.25">
      <c r="A22" s="6" t="s">
        <v>816</v>
      </c>
      <c r="B22" s="6" t="s">
        <v>46</v>
      </c>
      <c r="C22" s="6">
        <v>-10.735106</v>
      </c>
      <c r="D22" s="6">
        <v>27.868673999999999</v>
      </c>
      <c r="E22" s="6" t="s">
        <v>800</v>
      </c>
      <c r="F22" s="6" t="s">
        <v>802</v>
      </c>
      <c r="G22" s="7">
        <f>IFERROR(_xlfn.XLOOKUP([1]!Registre[[#This Row],[ID_Antenne]],[1]Log_Réseaux!B:B,[1]Log_Réseaux!C:C),"NA")</f>
        <v>2</v>
      </c>
      <c r="H22" s="7">
        <f>IFERROR(_xlfn.XLOOKUP([1]!Registre[[#This Row],[ID_Antenne]],[1]Log_Réseaux!B:B,[1]Log_Réseaux!D:D),"NA")</f>
        <v>210</v>
      </c>
    </row>
    <row r="23" spans="1:8" x14ac:dyDescent="0.25">
      <c r="A23" s="6" t="s">
        <v>817</v>
      </c>
      <c r="B23" s="6" t="s">
        <v>32</v>
      </c>
      <c r="C23" s="6">
        <v>-6.5529849999999996</v>
      </c>
      <c r="D23" s="6">
        <v>21.990606</v>
      </c>
      <c r="E23" s="6" t="s">
        <v>800</v>
      </c>
      <c r="F23" s="6" t="s">
        <v>797</v>
      </c>
      <c r="G23" s="7">
        <f>IFERROR(_xlfn.XLOOKUP([1]!Registre[[#This Row],[ID_Antenne]],[1]Log_Réseaux!B:B,[1]Log_Réseaux!C:C),"NA")</f>
        <v>7</v>
      </c>
      <c r="H23" s="7">
        <f>IFERROR(_xlfn.XLOOKUP([1]!Registre[[#This Row],[ID_Antenne]],[1]Log_Réseaux!B:B,[1]Log_Réseaux!D:D),"NA")</f>
        <v>512</v>
      </c>
    </row>
    <row r="24" spans="1:8" x14ac:dyDescent="0.25">
      <c r="A24" s="6" t="s">
        <v>818</v>
      </c>
      <c r="B24" s="6" t="s">
        <v>32</v>
      </c>
      <c r="C24" s="6">
        <v>-0.17258100000000001</v>
      </c>
      <c r="D24" s="6">
        <v>23.775555000000001</v>
      </c>
      <c r="E24" s="6" t="s">
        <v>796</v>
      </c>
      <c r="F24" s="6" t="s">
        <v>793</v>
      </c>
      <c r="G24" s="7">
        <f>IFERROR(_xlfn.XLOOKUP([1]!Registre[[#This Row],[ID_Antenne]],[1]Log_Réseaux!B:B,[1]Log_Réseaux!C:C),"NA")</f>
        <v>5</v>
      </c>
      <c r="H24" s="7">
        <f>IFERROR(_xlfn.XLOOKUP([1]!Registre[[#This Row],[ID_Antenne]],[1]Log_Réseaux!B:B,[1]Log_Réseaux!D:D),"NA")</f>
        <v>254</v>
      </c>
    </row>
    <row r="25" spans="1:8" x14ac:dyDescent="0.25">
      <c r="A25" s="6" t="s">
        <v>819</v>
      </c>
      <c r="B25" s="6" t="s">
        <v>59</v>
      </c>
      <c r="C25" s="6">
        <v>-6.7420359999999997</v>
      </c>
      <c r="D25" s="6">
        <v>28.905578999999999</v>
      </c>
      <c r="E25" s="6" t="s">
        <v>800</v>
      </c>
      <c r="F25" s="6" t="s">
        <v>797</v>
      </c>
      <c r="G25" s="7">
        <f>IFERROR(_xlfn.XLOOKUP([1]!Registre[[#This Row],[ID_Antenne]],[1]Log_Réseaux!B:B,[1]Log_Réseaux!C:C),"NA")</f>
        <v>9</v>
      </c>
      <c r="H25" s="7">
        <f>IFERROR(_xlfn.XLOOKUP([1]!Registre[[#This Row],[ID_Antenne]],[1]Log_Réseaux!B:B,[1]Log_Réseaux!D:D),"NA")</f>
        <v>554</v>
      </c>
    </row>
    <row r="26" spans="1:8" x14ac:dyDescent="0.25">
      <c r="A26" s="6" t="s">
        <v>820</v>
      </c>
      <c r="B26" s="6" t="s">
        <v>12</v>
      </c>
      <c r="C26" s="6">
        <v>-1.231033</v>
      </c>
      <c r="D26" s="6">
        <v>28.851388</v>
      </c>
      <c r="E26" s="6" t="s">
        <v>800</v>
      </c>
      <c r="F26" s="6" t="s">
        <v>802</v>
      </c>
      <c r="G26" s="7">
        <f>IFERROR(_xlfn.XLOOKUP([1]!Registre[[#This Row],[ID_Antenne]],[1]Log_Réseaux!B:B,[1]Log_Réseaux!C:C),"NA")</f>
        <v>5</v>
      </c>
      <c r="H26" s="7">
        <f>IFERROR(_xlfn.XLOOKUP([1]!Registre[[#This Row],[ID_Antenne]],[1]Log_Réseaux!B:B,[1]Log_Réseaux!D:D),"NA")</f>
        <v>314</v>
      </c>
    </row>
    <row r="27" spans="1:8" x14ac:dyDescent="0.25">
      <c r="A27" s="6" t="s">
        <v>821</v>
      </c>
      <c r="B27" s="6" t="s">
        <v>57</v>
      </c>
      <c r="C27" s="6">
        <v>-9.3652280000000001</v>
      </c>
      <c r="D27" s="6">
        <v>18.674116000000001</v>
      </c>
      <c r="E27" s="6" t="s">
        <v>790</v>
      </c>
      <c r="F27" s="6" t="s">
        <v>797</v>
      </c>
      <c r="G27" s="7">
        <f>IFERROR(_xlfn.XLOOKUP([1]!Registre[[#This Row],[ID_Antenne]],[1]Log_Réseaux!B:B,[1]Log_Réseaux!C:C),"NA")</f>
        <v>9</v>
      </c>
      <c r="H27" s="7">
        <f>IFERROR(_xlfn.XLOOKUP([1]!Registre[[#This Row],[ID_Antenne]],[1]Log_Réseaux!B:B,[1]Log_Réseaux!D:D),"NA")</f>
        <v>384</v>
      </c>
    </row>
    <row r="28" spans="1:8" x14ac:dyDescent="0.25">
      <c r="A28" s="6" t="s">
        <v>822</v>
      </c>
      <c r="B28" s="6" t="s">
        <v>65</v>
      </c>
      <c r="C28" s="6">
        <v>-6.4670189999999996</v>
      </c>
      <c r="D28" s="6">
        <v>29.487309</v>
      </c>
      <c r="E28" s="6" t="s">
        <v>790</v>
      </c>
      <c r="F28" s="6" t="s">
        <v>791</v>
      </c>
      <c r="G28" s="7">
        <f>IFERROR(_xlfn.XLOOKUP([1]!Registre[[#This Row],[ID_Antenne]],[1]Log_Réseaux!B:B,[1]Log_Réseaux!C:C),"NA")</f>
        <v>5</v>
      </c>
      <c r="H28" s="7">
        <f>IFERROR(_xlfn.XLOOKUP([1]!Registre[[#This Row],[ID_Antenne]],[1]Log_Réseaux!B:B,[1]Log_Réseaux!D:D),"NA")</f>
        <v>351</v>
      </c>
    </row>
    <row r="29" spans="1:8" x14ac:dyDescent="0.25">
      <c r="A29" s="6" t="s">
        <v>823</v>
      </c>
      <c r="B29" s="6" t="s">
        <v>30</v>
      </c>
      <c r="C29" s="6">
        <v>-0.34051900000000002</v>
      </c>
      <c r="D29" s="6">
        <v>17.079799000000001</v>
      </c>
      <c r="E29" s="6" t="s">
        <v>796</v>
      </c>
      <c r="F29" s="6" t="s">
        <v>802</v>
      </c>
      <c r="G29" s="7">
        <f>IFERROR(_xlfn.XLOOKUP([1]!Registre[[#This Row],[ID_Antenne]],[1]Log_Réseaux!B:B,[1]Log_Réseaux!C:C),"NA")</f>
        <v>6</v>
      </c>
      <c r="H29" s="7">
        <f>IFERROR(_xlfn.XLOOKUP([1]!Registre[[#This Row],[ID_Antenne]],[1]Log_Réseaux!B:B,[1]Log_Réseaux!D:D),"NA")</f>
        <v>321</v>
      </c>
    </row>
    <row r="30" spans="1:8" x14ac:dyDescent="0.25">
      <c r="A30" s="6" t="s">
        <v>824</v>
      </c>
      <c r="B30" s="6" t="s">
        <v>65</v>
      </c>
      <c r="C30" s="6">
        <v>1.499457</v>
      </c>
      <c r="D30" s="6">
        <v>13.876317999999999</v>
      </c>
      <c r="E30" s="6" t="s">
        <v>796</v>
      </c>
      <c r="F30" s="6" t="s">
        <v>793</v>
      </c>
      <c r="G30" s="7">
        <f>IFERROR(_xlfn.XLOOKUP([1]!Registre[[#This Row],[ID_Antenne]],[1]Log_Réseaux!B:B,[1]Log_Réseaux!C:C),"NA")</f>
        <v>3</v>
      </c>
      <c r="H30" s="7">
        <f>IFERROR(_xlfn.XLOOKUP([1]!Registre[[#This Row],[ID_Antenne]],[1]Log_Réseaux!B:B,[1]Log_Réseaux!D:D),"NA")</f>
        <v>149</v>
      </c>
    </row>
    <row r="31" spans="1:8" x14ac:dyDescent="0.25">
      <c r="A31" s="6" t="s">
        <v>825</v>
      </c>
      <c r="B31" s="6" t="s">
        <v>69</v>
      </c>
      <c r="C31" s="6">
        <v>1.7832440000000001</v>
      </c>
      <c r="D31" s="6">
        <v>25.477405999999998</v>
      </c>
      <c r="E31" s="6" t="s">
        <v>796</v>
      </c>
      <c r="F31" s="6" t="s">
        <v>797</v>
      </c>
      <c r="G31" s="7">
        <f>IFERROR(_xlfn.XLOOKUP([1]!Registre[[#This Row],[ID_Antenne]],[1]Log_Réseaux!B:B,[1]Log_Réseaux!C:C),"NA")</f>
        <v>4</v>
      </c>
      <c r="H31" s="7">
        <f>IFERROR(_xlfn.XLOOKUP([1]!Registre[[#This Row],[ID_Antenne]],[1]Log_Réseaux!B:B,[1]Log_Réseaux!D:D),"NA")</f>
        <v>272</v>
      </c>
    </row>
    <row r="32" spans="1:8" x14ac:dyDescent="0.25">
      <c r="A32" s="6" t="s">
        <v>826</v>
      </c>
      <c r="B32" s="6" t="s">
        <v>105</v>
      </c>
      <c r="C32" s="6">
        <v>-10.764815</v>
      </c>
      <c r="D32" s="6">
        <v>14.602039</v>
      </c>
      <c r="E32" s="6" t="s">
        <v>790</v>
      </c>
      <c r="F32" s="6" t="s">
        <v>793</v>
      </c>
      <c r="G32" s="7">
        <f>IFERROR(_xlfn.XLOOKUP([1]!Registre[[#This Row],[ID_Antenne]],[1]Log_Réseaux!B:B,[1]Log_Réseaux!C:C),"NA")</f>
        <v>4</v>
      </c>
      <c r="H32" s="7">
        <f>IFERROR(_xlfn.XLOOKUP([1]!Registre[[#This Row],[ID_Antenne]],[1]Log_Réseaux!B:B,[1]Log_Réseaux!D:D),"NA")</f>
        <v>177</v>
      </c>
    </row>
    <row r="33" spans="1:8" x14ac:dyDescent="0.25">
      <c r="A33" s="6" t="s">
        <v>827</v>
      </c>
      <c r="B33" s="6" t="s">
        <v>30</v>
      </c>
      <c r="C33" s="6">
        <v>-12.595355</v>
      </c>
      <c r="D33" s="6">
        <v>17.897442000000002</v>
      </c>
      <c r="E33" s="6" t="s">
        <v>790</v>
      </c>
      <c r="F33" s="6" t="s">
        <v>797</v>
      </c>
      <c r="G33" s="7">
        <f>IFERROR(_xlfn.XLOOKUP([1]!Registre[[#This Row],[ID_Antenne]],[1]Log_Réseaux!B:B,[1]Log_Réseaux!C:C),"NA")</f>
        <v>6</v>
      </c>
      <c r="H33" s="7">
        <f>IFERROR(_xlfn.XLOOKUP([1]!Registre[[#This Row],[ID_Antenne]],[1]Log_Réseaux!B:B,[1]Log_Réseaux!D:D),"NA")</f>
        <v>416</v>
      </c>
    </row>
    <row r="34" spans="1:8" x14ac:dyDescent="0.25">
      <c r="A34" s="6" t="s">
        <v>828</v>
      </c>
      <c r="B34" s="6" t="s">
        <v>46</v>
      </c>
      <c r="C34" s="6">
        <v>-8.0800809999999998</v>
      </c>
      <c r="D34" s="6">
        <v>30.147970999999998</v>
      </c>
      <c r="E34" s="6" t="s">
        <v>796</v>
      </c>
      <c r="F34" s="6" t="s">
        <v>797</v>
      </c>
      <c r="G34" s="7">
        <f>IFERROR(_xlfn.XLOOKUP([1]!Registre[[#This Row],[ID_Antenne]],[1]Log_Réseaux!B:B,[1]Log_Réseaux!C:C),"NA")</f>
        <v>7</v>
      </c>
      <c r="H34" s="7">
        <f>IFERROR(_xlfn.XLOOKUP([1]!Registre[[#This Row],[ID_Antenne]],[1]Log_Réseaux!B:B,[1]Log_Réseaux!D:D),"NA")</f>
        <v>334</v>
      </c>
    </row>
    <row r="35" spans="1:8" x14ac:dyDescent="0.25">
      <c r="A35" s="6" t="s">
        <v>829</v>
      </c>
      <c r="B35" s="6" t="s">
        <v>48</v>
      </c>
      <c r="C35" s="6">
        <v>-12.141233</v>
      </c>
      <c r="D35" s="6">
        <v>15.179043999999999</v>
      </c>
      <c r="E35" s="6" t="s">
        <v>796</v>
      </c>
      <c r="F35" s="6" t="s">
        <v>802</v>
      </c>
      <c r="G35" s="7">
        <f>IFERROR(_xlfn.XLOOKUP([1]!Registre[[#This Row],[ID_Antenne]],[1]Log_Réseaux!B:B,[1]Log_Réseaux!C:C),"NA")</f>
        <v>6</v>
      </c>
      <c r="H35" s="7">
        <f>IFERROR(_xlfn.XLOOKUP([1]!Registre[[#This Row],[ID_Antenne]],[1]Log_Réseaux!B:B,[1]Log_Réseaux!D:D),"NA")</f>
        <v>489</v>
      </c>
    </row>
    <row r="36" spans="1:8" x14ac:dyDescent="0.25">
      <c r="A36" s="6" t="s">
        <v>830</v>
      </c>
      <c r="B36" s="6" t="s">
        <v>28</v>
      </c>
      <c r="C36" s="6">
        <v>-8.4824669999999998</v>
      </c>
      <c r="D36" s="6">
        <v>21.897777999999999</v>
      </c>
      <c r="E36" s="6" t="s">
        <v>796</v>
      </c>
      <c r="F36" s="6" t="s">
        <v>802</v>
      </c>
      <c r="G36" s="7">
        <f>IFERROR(_xlfn.XLOOKUP([1]!Registre[[#This Row],[ID_Antenne]],[1]Log_Réseaux!B:B,[1]Log_Réseaux!C:C),"NA")</f>
        <v>4</v>
      </c>
      <c r="H36" s="7">
        <f>IFERROR(_xlfn.XLOOKUP([1]!Registre[[#This Row],[ID_Antenne]],[1]Log_Réseaux!B:B,[1]Log_Réseaux!D:D),"NA")</f>
        <v>300</v>
      </c>
    </row>
    <row r="37" spans="1:8" x14ac:dyDescent="0.25">
      <c r="A37" s="6" t="s">
        <v>831</v>
      </c>
      <c r="B37" s="6" t="s">
        <v>30</v>
      </c>
      <c r="C37" s="6">
        <v>0.24202000000000001</v>
      </c>
      <c r="D37" s="6">
        <v>17.396256999999999</v>
      </c>
      <c r="E37" s="6" t="s">
        <v>790</v>
      </c>
      <c r="F37" s="6" t="s">
        <v>797</v>
      </c>
      <c r="G37" s="7">
        <f>IFERROR(_xlfn.XLOOKUP([1]!Registre[[#This Row],[ID_Antenne]],[1]Log_Réseaux!B:B,[1]Log_Réseaux!C:C),"NA")</f>
        <v>2</v>
      </c>
      <c r="H37" s="7">
        <f>IFERROR(_xlfn.XLOOKUP([1]!Registre[[#This Row],[ID_Antenne]],[1]Log_Réseaux!B:B,[1]Log_Réseaux!D:D),"NA")</f>
        <v>137</v>
      </c>
    </row>
    <row r="38" spans="1:8" x14ac:dyDescent="0.25">
      <c r="A38" s="6" t="s">
        <v>832</v>
      </c>
      <c r="B38" s="6" t="s">
        <v>24</v>
      </c>
      <c r="C38" s="6">
        <v>-10.577049000000001</v>
      </c>
      <c r="D38" s="6">
        <v>23.721854</v>
      </c>
      <c r="E38" s="6" t="s">
        <v>790</v>
      </c>
      <c r="F38" s="6" t="s">
        <v>791</v>
      </c>
      <c r="G38" s="7">
        <f>IFERROR(_xlfn.XLOOKUP([1]!Registre[[#This Row],[ID_Antenne]],[1]Log_Réseaux!B:B,[1]Log_Réseaux!C:C),"NA")</f>
        <v>9</v>
      </c>
      <c r="H38" s="7">
        <f>IFERROR(_xlfn.XLOOKUP([1]!Registre[[#This Row],[ID_Antenne]],[1]Log_Réseaux!B:B,[1]Log_Réseaux!D:D),"NA")</f>
        <v>608</v>
      </c>
    </row>
    <row r="39" spans="1:8" x14ac:dyDescent="0.25">
      <c r="A39" s="6" t="s">
        <v>833</v>
      </c>
      <c r="B39" s="6" t="s">
        <v>44</v>
      </c>
      <c r="C39" s="6">
        <v>-12.776386</v>
      </c>
      <c r="D39" s="6">
        <v>14.157596</v>
      </c>
      <c r="E39" s="6" t="s">
        <v>800</v>
      </c>
      <c r="F39" s="6" t="s">
        <v>793</v>
      </c>
      <c r="G39" s="7">
        <f>IFERROR(_xlfn.XLOOKUP([1]!Registre[[#This Row],[ID_Antenne]],[1]Log_Réseaux!B:B,[1]Log_Réseaux!C:C),"NA")</f>
        <v>6</v>
      </c>
      <c r="H39" s="7">
        <f>IFERROR(_xlfn.XLOOKUP([1]!Registre[[#This Row],[ID_Antenne]],[1]Log_Réseaux!B:B,[1]Log_Réseaux!D:D),"NA")</f>
        <v>480</v>
      </c>
    </row>
    <row r="40" spans="1:8" x14ac:dyDescent="0.25">
      <c r="A40" s="6" t="s">
        <v>834</v>
      </c>
      <c r="B40" s="6" t="s">
        <v>9</v>
      </c>
      <c r="C40" s="6">
        <v>2.413557</v>
      </c>
      <c r="D40" s="6">
        <v>19.690681999999999</v>
      </c>
      <c r="E40" s="6" t="s">
        <v>790</v>
      </c>
      <c r="F40" s="6" t="s">
        <v>797</v>
      </c>
      <c r="G40" s="7">
        <f>IFERROR(_xlfn.XLOOKUP([1]!Registre[[#This Row],[ID_Antenne]],[1]Log_Réseaux!B:B,[1]Log_Réseaux!C:C),"NA")</f>
        <v>4</v>
      </c>
      <c r="H40" s="7">
        <f>IFERROR(_xlfn.XLOOKUP([1]!Registre[[#This Row],[ID_Antenne]],[1]Log_Réseaux!B:B,[1]Log_Réseaux!D:D),"NA")</f>
        <v>373</v>
      </c>
    </row>
    <row r="41" spans="1:8" x14ac:dyDescent="0.25">
      <c r="A41" s="6" t="s">
        <v>835</v>
      </c>
      <c r="B41" s="6" t="s">
        <v>38</v>
      </c>
      <c r="C41" s="6">
        <v>4.2904629999999999</v>
      </c>
      <c r="D41" s="6">
        <v>26.354195000000001</v>
      </c>
      <c r="E41" s="6" t="s">
        <v>800</v>
      </c>
      <c r="F41" s="6" t="s">
        <v>802</v>
      </c>
      <c r="G41" s="7">
        <f>IFERROR(_xlfn.XLOOKUP([1]!Registre[[#This Row],[ID_Antenne]],[1]Log_Réseaux!B:B,[1]Log_Réseaux!C:C),"NA")</f>
        <v>4</v>
      </c>
      <c r="H41" s="7">
        <f>IFERROR(_xlfn.XLOOKUP([1]!Registre[[#This Row],[ID_Antenne]],[1]Log_Réseaux!B:B,[1]Log_Réseaux!D:D),"NA")</f>
        <v>228</v>
      </c>
    </row>
    <row r="42" spans="1:8" x14ac:dyDescent="0.25">
      <c r="A42" s="6" t="s">
        <v>836</v>
      </c>
      <c r="B42" s="6" t="s">
        <v>156</v>
      </c>
      <c r="C42" s="6">
        <v>-9.7803979999999999</v>
      </c>
      <c r="D42" s="6">
        <v>17.686595000000001</v>
      </c>
      <c r="E42" s="6" t="s">
        <v>790</v>
      </c>
      <c r="F42" s="6" t="s">
        <v>802</v>
      </c>
      <c r="G42" s="7">
        <f>IFERROR(_xlfn.XLOOKUP([1]!Registre[[#This Row],[ID_Antenne]],[1]Log_Réseaux!B:B,[1]Log_Réseaux!C:C),"NA")</f>
        <v>5</v>
      </c>
      <c r="H42" s="7">
        <f>IFERROR(_xlfn.XLOOKUP([1]!Registre[[#This Row],[ID_Antenne]],[1]Log_Réseaux!B:B,[1]Log_Réseaux!D:D),"NA")</f>
        <v>369</v>
      </c>
    </row>
    <row r="43" spans="1:8" x14ac:dyDescent="0.25">
      <c r="A43" s="6" t="s">
        <v>837</v>
      </c>
      <c r="B43" s="6" t="s">
        <v>72</v>
      </c>
      <c r="C43" s="6">
        <v>-3.2361680000000002</v>
      </c>
      <c r="D43" s="6">
        <v>13.523237999999999</v>
      </c>
      <c r="E43" s="6" t="s">
        <v>790</v>
      </c>
      <c r="F43" s="6" t="s">
        <v>797</v>
      </c>
      <c r="G43" s="7" t="str">
        <f>IFERROR(_xlfn.XLOOKUP([1]!Registre[[#This Row],[ID_Antenne]],[1]Log_Réseaux!B:B,[1]Log_Réseaux!C:C),"NA")</f>
        <v>NA</v>
      </c>
      <c r="H43" s="7" t="str">
        <f>IFERROR(_xlfn.XLOOKUP([1]!Registre[[#This Row],[ID_Antenne]],[1]Log_Réseaux!B:B,[1]Log_Réseaux!D:D),"NA")</f>
        <v>NA</v>
      </c>
    </row>
    <row r="44" spans="1:8" x14ac:dyDescent="0.25">
      <c r="A44" s="6" t="s">
        <v>838</v>
      </c>
      <c r="B44" s="6" t="s">
        <v>46</v>
      </c>
      <c r="C44" s="6">
        <v>-7.3379339999999997</v>
      </c>
      <c r="D44" s="6">
        <v>28.404001999999998</v>
      </c>
      <c r="E44" s="6" t="s">
        <v>800</v>
      </c>
      <c r="F44" s="6" t="s">
        <v>793</v>
      </c>
      <c r="G44" s="7">
        <f>IFERROR(_xlfn.XLOOKUP([1]!Registre[[#This Row],[ID_Antenne]],[1]Log_Réseaux!B:B,[1]Log_Réseaux!C:C),"NA")</f>
        <v>5</v>
      </c>
      <c r="H44" s="7">
        <f>IFERROR(_xlfn.XLOOKUP([1]!Registre[[#This Row],[ID_Antenne]],[1]Log_Réseaux!B:B,[1]Log_Réseaux!D:D),"NA")</f>
        <v>184</v>
      </c>
    </row>
    <row r="45" spans="1:8" x14ac:dyDescent="0.25">
      <c r="A45" s="6" t="s">
        <v>839</v>
      </c>
      <c r="B45" s="6" t="s">
        <v>105</v>
      </c>
      <c r="C45" s="6">
        <v>-4.7886769999999999</v>
      </c>
      <c r="D45" s="6">
        <v>23.600221999999999</v>
      </c>
      <c r="E45" s="6" t="s">
        <v>800</v>
      </c>
      <c r="F45" s="6" t="s">
        <v>791</v>
      </c>
      <c r="G45" s="7">
        <f>IFERROR(_xlfn.XLOOKUP([1]!Registre[[#This Row],[ID_Antenne]],[1]Log_Réseaux!B:B,[1]Log_Réseaux!C:C),"NA")</f>
        <v>6</v>
      </c>
      <c r="H45" s="7">
        <f>IFERROR(_xlfn.XLOOKUP([1]!Registre[[#This Row],[ID_Antenne]],[1]Log_Réseaux!B:B,[1]Log_Réseaux!D:D),"NA")</f>
        <v>373</v>
      </c>
    </row>
    <row r="46" spans="1:8" x14ac:dyDescent="0.25">
      <c r="A46" s="6" t="s">
        <v>840</v>
      </c>
      <c r="B46" s="6" t="s">
        <v>15</v>
      </c>
      <c r="C46" s="6">
        <v>2.975352</v>
      </c>
      <c r="D46" s="6">
        <v>22.535886000000001</v>
      </c>
      <c r="E46" s="6" t="s">
        <v>790</v>
      </c>
      <c r="F46" s="6" t="s">
        <v>797</v>
      </c>
      <c r="G46" s="7">
        <f>IFERROR(_xlfn.XLOOKUP([1]!Registre[[#This Row],[ID_Antenne]],[1]Log_Réseaux!B:B,[1]Log_Réseaux!C:C),"NA")</f>
        <v>8</v>
      </c>
      <c r="H46" s="7">
        <f>IFERROR(_xlfn.XLOOKUP([1]!Registre[[#This Row],[ID_Antenne]],[1]Log_Réseaux!B:B,[1]Log_Réseaux!D:D),"NA")</f>
        <v>495</v>
      </c>
    </row>
    <row r="47" spans="1:8" x14ac:dyDescent="0.25">
      <c r="A47" s="6" t="s">
        <v>841</v>
      </c>
      <c r="B47" s="6" t="s">
        <v>28</v>
      </c>
      <c r="C47" s="6">
        <v>-10.650321</v>
      </c>
      <c r="D47" s="6">
        <v>15.917044000000001</v>
      </c>
      <c r="E47" s="6" t="s">
        <v>790</v>
      </c>
      <c r="F47" s="6" t="s">
        <v>793</v>
      </c>
      <c r="G47" s="7">
        <f>IFERROR(_xlfn.XLOOKUP([1]!Registre[[#This Row],[ID_Antenne]],[1]Log_Réseaux!B:B,[1]Log_Réseaux!C:C),"NA")</f>
        <v>4</v>
      </c>
      <c r="H47" s="7">
        <f>IFERROR(_xlfn.XLOOKUP([1]!Registre[[#This Row],[ID_Antenne]],[1]Log_Réseaux!B:B,[1]Log_Réseaux!D:D),"NA")</f>
        <v>265</v>
      </c>
    </row>
    <row r="48" spans="1:8" x14ac:dyDescent="0.25">
      <c r="A48" s="6" t="s">
        <v>842</v>
      </c>
      <c r="B48" s="6" t="s">
        <v>65</v>
      </c>
      <c r="C48" s="6">
        <v>3.0603760000000002</v>
      </c>
      <c r="D48" s="6">
        <v>19.708034000000001</v>
      </c>
      <c r="E48" s="6" t="s">
        <v>800</v>
      </c>
      <c r="F48" s="6" t="s">
        <v>791</v>
      </c>
      <c r="G48" s="7">
        <f>IFERROR(_xlfn.XLOOKUP([1]!Registre[[#This Row],[ID_Antenne]],[1]Log_Réseaux!B:B,[1]Log_Réseaux!C:C),"NA")</f>
        <v>6</v>
      </c>
      <c r="H48" s="7">
        <f>IFERROR(_xlfn.XLOOKUP([1]!Registre[[#This Row],[ID_Antenne]],[1]Log_Réseaux!B:B,[1]Log_Réseaux!D:D),"NA")</f>
        <v>358</v>
      </c>
    </row>
    <row r="49" spans="1:8" x14ac:dyDescent="0.25">
      <c r="A49" s="6" t="s">
        <v>843</v>
      </c>
      <c r="B49" s="6" t="s">
        <v>15</v>
      </c>
      <c r="C49" s="6">
        <v>-11.157245</v>
      </c>
      <c r="D49" s="6">
        <v>21.262627999999999</v>
      </c>
      <c r="E49" s="6" t="s">
        <v>796</v>
      </c>
      <c r="F49" s="6" t="s">
        <v>791</v>
      </c>
      <c r="G49" s="7">
        <f>IFERROR(_xlfn.XLOOKUP([1]!Registre[[#This Row],[ID_Antenne]],[1]Log_Réseaux!B:B,[1]Log_Réseaux!C:C),"NA")</f>
        <v>5</v>
      </c>
      <c r="H49" s="7">
        <f>IFERROR(_xlfn.XLOOKUP([1]!Registre[[#This Row],[ID_Antenne]],[1]Log_Réseaux!B:B,[1]Log_Réseaux!D:D),"NA")</f>
        <v>412</v>
      </c>
    </row>
    <row r="50" spans="1:8" x14ac:dyDescent="0.25">
      <c r="A50" s="6" t="s">
        <v>844</v>
      </c>
      <c r="B50" s="6" t="s">
        <v>40</v>
      </c>
      <c r="C50" s="6">
        <v>1.0134879999999999</v>
      </c>
      <c r="D50" s="6">
        <v>20.363515</v>
      </c>
      <c r="E50" s="6" t="s">
        <v>790</v>
      </c>
      <c r="F50" s="6" t="s">
        <v>793</v>
      </c>
      <c r="G50" s="7">
        <f>IFERROR(_xlfn.XLOOKUP([1]!Registre[[#This Row],[ID_Antenne]],[1]Log_Réseaux!B:B,[1]Log_Réseaux!C:C),"NA")</f>
        <v>5</v>
      </c>
      <c r="H50" s="7">
        <f>IFERROR(_xlfn.XLOOKUP([1]!Registre[[#This Row],[ID_Antenne]],[1]Log_Réseaux!B:B,[1]Log_Réseaux!D:D),"NA")</f>
        <v>312</v>
      </c>
    </row>
    <row r="51" spans="1:8" x14ac:dyDescent="0.25">
      <c r="A51" s="6" t="s">
        <v>845</v>
      </c>
      <c r="B51" s="6" t="s">
        <v>59</v>
      </c>
      <c r="C51" s="6">
        <v>-0.79459900000000006</v>
      </c>
      <c r="D51" s="6">
        <v>26.775570999999999</v>
      </c>
      <c r="E51" s="6" t="s">
        <v>796</v>
      </c>
      <c r="F51" s="6" t="s">
        <v>797</v>
      </c>
      <c r="G51" s="7">
        <f>IFERROR(_xlfn.XLOOKUP([1]!Registre[[#This Row],[ID_Antenne]],[1]Log_Réseaux!B:B,[1]Log_Réseaux!C:C),"NA")</f>
        <v>6</v>
      </c>
      <c r="H51" s="7">
        <f>IFERROR(_xlfn.XLOOKUP([1]!Registre[[#This Row],[ID_Antenne]],[1]Log_Réseaux!B:B,[1]Log_Réseaux!D:D),"NA")</f>
        <v>445</v>
      </c>
    </row>
    <row r="52" spans="1:8" x14ac:dyDescent="0.25">
      <c r="A52" s="6" t="s">
        <v>846</v>
      </c>
      <c r="B52" s="6" t="s">
        <v>22</v>
      </c>
      <c r="C52" s="6">
        <v>-2.2876210000000001</v>
      </c>
      <c r="D52" s="6">
        <v>27.582545</v>
      </c>
      <c r="E52" s="6" t="s">
        <v>790</v>
      </c>
      <c r="F52" s="6" t="s">
        <v>797</v>
      </c>
      <c r="G52" s="7">
        <f>IFERROR(_xlfn.XLOOKUP([1]!Registre[[#This Row],[ID_Antenne]],[1]Log_Réseaux!B:B,[1]Log_Réseaux!C:C),"NA")</f>
        <v>8</v>
      </c>
      <c r="H52" s="7">
        <f>IFERROR(_xlfn.XLOOKUP([1]!Registre[[#This Row],[ID_Antenne]],[1]Log_Réseaux!B:B,[1]Log_Réseaux!D:D),"NA")</f>
        <v>583</v>
      </c>
    </row>
    <row r="53" spans="1:8" x14ac:dyDescent="0.25">
      <c r="A53" s="6" t="s">
        <v>847</v>
      </c>
      <c r="B53" s="6" t="s">
        <v>6</v>
      </c>
      <c r="C53" s="6">
        <v>-7.9425049999999997</v>
      </c>
      <c r="D53" s="6">
        <v>24.111059000000001</v>
      </c>
      <c r="E53" s="6" t="s">
        <v>800</v>
      </c>
      <c r="F53" s="6" t="s">
        <v>791</v>
      </c>
      <c r="G53" s="7">
        <f>IFERROR(_xlfn.XLOOKUP([1]!Registre[[#This Row],[ID_Antenne]],[1]Log_Réseaux!B:B,[1]Log_Réseaux!C:C),"NA")</f>
        <v>4</v>
      </c>
      <c r="H53" s="7">
        <f>IFERROR(_xlfn.XLOOKUP([1]!Registre[[#This Row],[ID_Antenne]],[1]Log_Réseaux!B:B,[1]Log_Réseaux!D:D),"NA")</f>
        <v>305</v>
      </c>
    </row>
    <row r="54" spans="1:8" x14ac:dyDescent="0.25">
      <c r="A54" s="6" t="s">
        <v>848</v>
      </c>
      <c r="B54" s="6" t="s">
        <v>40</v>
      </c>
      <c r="C54" s="6">
        <v>-7.8417870000000001</v>
      </c>
      <c r="D54" s="6">
        <v>14.730712</v>
      </c>
      <c r="E54" s="6" t="s">
        <v>796</v>
      </c>
      <c r="F54" s="6" t="s">
        <v>793</v>
      </c>
      <c r="G54" s="7">
        <f>IFERROR(_xlfn.XLOOKUP([1]!Registre[[#This Row],[ID_Antenne]],[1]Log_Réseaux!B:B,[1]Log_Réseaux!C:C),"NA")</f>
        <v>3</v>
      </c>
      <c r="H54" s="7">
        <f>IFERROR(_xlfn.XLOOKUP([1]!Registre[[#This Row],[ID_Antenne]],[1]Log_Réseaux!B:B,[1]Log_Réseaux!D:D),"NA")</f>
        <v>195</v>
      </c>
    </row>
    <row r="55" spans="1:8" x14ac:dyDescent="0.25">
      <c r="A55" s="6" t="s">
        <v>849</v>
      </c>
      <c r="B55" s="6" t="s">
        <v>28</v>
      </c>
      <c r="C55" s="6">
        <v>1.938083</v>
      </c>
      <c r="D55" s="6">
        <v>28.25281</v>
      </c>
      <c r="E55" s="6" t="s">
        <v>790</v>
      </c>
      <c r="F55" s="6" t="s">
        <v>793</v>
      </c>
      <c r="G55" s="7">
        <f>IFERROR(_xlfn.XLOOKUP([1]!Registre[[#This Row],[ID_Antenne]],[1]Log_Réseaux!B:B,[1]Log_Réseaux!C:C),"NA")</f>
        <v>5</v>
      </c>
      <c r="H55" s="7">
        <f>IFERROR(_xlfn.XLOOKUP([1]!Registre[[#This Row],[ID_Antenne]],[1]Log_Réseaux!B:B,[1]Log_Réseaux!D:D),"NA")</f>
        <v>420</v>
      </c>
    </row>
    <row r="56" spans="1:8" x14ac:dyDescent="0.25">
      <c r="A56" s="6" t="s">
        <v>850</v>
      </c>
      <c r="B56" s="6" t="s">
        <v>48</v>
      </c>
      <c r="C56" s="6">
        <v>3.4676979999999999</v>
      </c>
      <c r="D56" s="6">
        <v>13.459707</v>
      </c>
      <c r="E56" s="6" t="s">
        <v>796</v>
      </c>
      <c r="F56" s="6" t="s">
        <v>797</v>
      </c>
      <c r="G56" s="7">
        <f>IFERROR(_xlfn.XLOOKUP([1]!Registre[[#This Row],[ID_Antenne]],[1]Log_Réseaux!B:B,[1]Log_Réseaux!C:C),"NA")</f>
        <v>2</v>
      </c>
      <c r="H56" s="7">
        <f>IFERROR(_xlfn.XLOOKUP([1]!Registre[[#This Row],[ID_Antenne]],[1]Log_Réseaux!B:B,[1]Log_Réseaux!D:D),"NA")</f>
        <v>118</v>
      </c>
    </row>
    <row r="57" spans="1:8" x14ac:dyDescent="0.25">
      <c r="A57" s="6" t="s">
        <v>851</v>
      </c>
      <c r="B57" s="6" t="s">
        <v>22</v>
      </c>
      <c r="C57" s="6">
        <v>-7.3952039999999997</v>
      </c>
      <c r="D57" s="6">
        <v>21.651043999999999</v>
      </c>
      <c r="E57" s="6" t="s">
        <v>790</v>
      </c>
      <c r="F57" s="6" t="s">
        <v>797</v>
      </c>
      <c r="G57" s="7">
        <f>IFERROR(_xlfn.XLOOKUP([1]!Registre[[#This Row],[ID_Antenne]],[1]Log_Réseaux!B:B,[1]Log_Réseaux!C:C),"NA")</f>
        <v>3</v>
      </c>
      <c r="H57" s="7">
        <f>IFERROR(_xlfn.XLOOKUP([1]!Registre[[#This Row],[ID_Antenne]],[1]Log_Réseaux!B:B,[1]Log_Réseaux!D:D),"NA")</f>
        <v>257</v>
      </c>
    </row>
    <row r="58" spans="1:8" x14ac:dyDescent="0.25">
      <c r="A58" s="6" t="s">
        <v>852</v>
      </c>
      <c r="B58" s="6" t="s">
        <v>46</v>
      </c>
      <c r="C58" s="6">
        <v>1.897178</v>
      </c>
      <c r="D58" s="6">
        <v>23.902604</v>
      </c>
      <c r="E58" s="6" t="s">
        <v>800</v>
      </c>
      <c r="F58" s="6" t="s">
        <v>793</v>
      </c>
      <c r="G58" s="7">
        <f>IFERROR(_xlfn.XLOOKUP([1]!Registre[[#This Row],[ID_Antenne]],[1]Log_Réseaux!B:B,[1]Log_Réseaux!C:C),"NA")</f>
        <v>5</v>
      </c>
      <c r="H58" s="7">
        <f>IFERROR(_xlfn.XLOOKUP([1]!Registre[[#This Row],[ID_Antenne]],[1]Log_Réseaux!B:B,[1]Log_Réseaux!D:D),"NA")</f>
        <v>244</v>
      </c>
    </row>
    <row r="59" spans="1:8" x14ac:dyDescent="0.25">
      <c r="A59" s="6" t="s">
        <v>853</v>
      </c>
      <c r="B59" s="6" t="s">
        <v>22</v>
      </c>
      <c r="C59" s="6">
        <v>-1.6893210000000001</v>
      </c>
      <c r="D59" s="6">
        <v>30.446543999999999</v>
      </c>
      <c r="E59" s="6" t="s">
        <v>790</v>
      </c>
      <c r="F59" s="6" t="s">
        <v>797</v>
      </c>
      <c r="G59" s="7">
        <f>IFERROR(_xlfn.XLOOKUP([1]!Registre[[#This Row],[ID_Antenne]],[1]Log_Réseaux!B:B,[1]Log_Réseaux!C:C),"NA")</f>
        <v>5</v>
      </c>
      <c r="H59" s="7">
        <f>IFERROR(_xlfn.XLOOKUP([1]!Registre[[#This Row],[ID_Antenne]],[1]Log_Réseaux!B:B,[1]Log_Réseaux!D:D),"NA")</f>
        <v>402</v>
      </c>
    </row>
    <row r="60" spans="1:8" x14ac:dyDescent="0.25">
      <c r="A60" s="6" t="s">
        <v>854</v>
      </c>
      <c r="B60" s="6" t="s">
        <v>48</v>
      </c>
      <c r="C60" s="6">
        <v>-9.3652239999999995</v>
      </c>
      <c r="D60" s="6">
        <v>22.593423999999999</v>
      </c>
      <c r="E60" s="6" t="s">
        <v>796</v>
      </c>
      <c r="F60" s="6" t="s">
        <v>793</v>
      </c>
      <c r="G60" s="7">
        <f>IFERROR(_xlfn.XLOOKUP([1]!Registre[[#This Row],[ID_Antenne]],[1]Log_Réseaux!B:B,[1]Log_Réseaux!C:C),"NA")</f>
        <v>5</v>
      </c>
      <c r="H60" s="7">
        <f>IFERROR(_xlfn.XLOOKUP([1]!Registre[[#This Row],[ID_Antenne]],[1]Log_Réseaux!B:B,[1]Log_Réseaux!D:D),"NA")</f>
        <v>328</v>
      </c>
    </row>
    <row r="61" spans="1:8" x14ac:dyDescent="0.25">
      <c r="A61" s="6" t="s">
        <v>855</v>
      </c>
      <c r="B61" s="6" t="s">
        <v>9</v>
      </c>
      <c r="C61" s="6">
        <v>1.2691650000000001</v>
      </c>
      <c r="D61" s="6">
        <v>18.789956</v>
      </c>
      <c r="E61" s="6" t="s">
        <v>800</v>
      </c>
      <c r="F61" s="6" t="s">
        <v>793</v>
      </c>
      <c r="G61" s="7">
        <f>IFERROR(_xlfn.XLOOKUP([1]!Registre[[#This Row],[ID_Antenne]],[1]Log_Réseaux!B:B,[1]Log_Réseaux!C:C),"NA")</f>
        <v>3</v>
      </c>
      <c r="H61" s="7">
        <f>IFERROR(_xlfn.XLOOKUP([1]!Registre[[#This Row],[ID_Antenne]],[1]Log_Réseaux!B:B,[1]Log_Réseaux!D:D),"NA")</f>
        <v>192</v>
      </c>
    </row>
    <row r="62" spans="1:8" x14ac:dyDescent="0.25">
      <c r="A62" s="6" t="s">
        <v>856</v>
      </c>
      <c r="B62" s="6" t="s">
        <v>62</v>
      </c>
      <c r="C62" s="6">
        <v>-10.963041</v>
      </c>
      <c r="D62" s="6">
        <v>12.269857</v>
      </c>
      <c r="E62" s="6" t="s">
        <v>790</v>
      </c>
      <c r="F62" s="6" t="s">
        <v>797</v>
      </c>
      <c r="G62" s="7">
        <f>IFERROR(_xlfn.XLOOKUP([1]!Registre[[#This Row],[ID_Antenne]],[1]Log_Réseaux!B:B,[1]Log_Réseaux!C:C),"NA")</f>
        <v>5</v>
      </c>
      <c r="H62" s="7">
        <f>IFERROR(_xlfn.XLOOKUP([1]!Registre[[#This Row],[ID_Antenne]],[1]Log_Réseaux!B:B,[1]Log_Réseaux!D:D),"NA")</f>
        <v>230</v>
      </c>
    </row>
    <row r="63" spans="1:8" x14ac:dyDescent="0.25">
      <c r="A63" s="6" t="s">
        <v>857</v>
      </c>
      <c r="B63" s="6" t="s">
        <v>38</v>
      </c>
      <c r="C63" s="6">
        <v>-9.3900009999999998</v>
      </c>
      <c r="D63" s="6">
        <v>30.001517</v>
      </c>
      <c r="E63" s="6" t="s">
        <v>800</v>
      </c>
      <c r="F63" s="6" t="s">
        <v>793</v>
      </c>
      <c r="G63" s="7">
        <f>IFERROR(_xlfn.XLOOKUP([1]!Registre[[#This Row],[ID_Antenne]],[1]Log_Réseaux!B:B,[1]Log_Réseaux!C:C),"NA")</f>
        <v>7</v>
      </c>
      <c r="H63" s="7">
        <f>IFERROR(_xlfn.XLOOKUP([1]!Registre[[#This Row],[ID_Antenne]],[1]Log_Réseaux!B:B,[1]Log_Réseaux!D:D),"NA")</f>
        <v>416</v>
      </c>
    </row>
    <row r="64" spans="1:8" x14ac:dyDescent="0.25">
      <c r="A64" s="6" t="s">
        <v>858</v>
      </c>
      <c r="B64" s="6" t="s">
        <v>38</v>
      </c>
      <c r="C64" s="6">
        <v>-3.6233270000000002</v>
      </c>
      <c r="D64" s="6">
        <v>25.915645999999999</v>
      </c>
      <c r="E64" s="6" t="s">
        <v>800</v>
      </c>
      <c r="F64" s="6" t="s">
        <v>797</v>
      </c>
      <c r="G64" s="7">
        <f>IFERROR(_xlfn.XLOOKUP([1]!Registre[[#This Row],[ID_Antenne]],[1]Log_Réseaux!B:B,[1]Log_Réseaux!C:C),"NA")</f>
        <v>8</v>
      </c>
      <c r="H64" s="7">
        <f>IFERROR(_xlfn.XLOOKUP([1]!Registre[[#This Row],[ID_Antenne]],[1]Log_Réseaux!B:B,[1]Log_Réseaux!D:D),"NA")</f>
        <v>596</v>
      </c>
    </row>
    <row r="65" spans="1:8" x14ac:dyDescent="0.25">
      <c r="A65" s="6" t="s">
        <v>859</v>
      </c>
      <c r="B65" s="6" t="s">
        <v>6</v>
      </c>
      <c r="C65" s="6">
        <v>-12.229338</v>
      </c>
      <c r="D65" s="6">
        <v>29.587834999999998</v>
      </c>
      <c r="E65" s="6" t="s">
        <v>790</v>
      </c>
      <c r="F65" s="6" t="s">
        <v>793</v>
      </c>
      <c r="G65" s="7">
        <f>IFERROR(_xlfn.XLOOKUP([1]!Registre[[#This Row],[ID_Antenne]],[1]Log_Réseaux!B:B,[1]Log_Réseaux!C:C),"NA")</f>
        <v>8</v>
      </c>
      <c r="H65" s="7">
        <f>IFERROR(_xlfn.XLOOKUP([1]!Registre[[#This Row],[ID_Antenne]],[1]Log_Réseaux!B:B,[1]Log_Réseaux!D:D),"NA")</f>
        <v>497</v>
      </c>
    </row>
    <row r="66" spans="1:8" x14ac:dyDescent="0.25">
      <c r="A66" s="6" t="s">
        <v>860</v>
      </c>
      <c r="B66" s="6" t="s">
        <v>28</v>
      </c>
      <c r="C66" s="6">
        <v>4.8228650000000002</v>
      </c>
      <c r="D66" s="6">
        <v>30.555627000000001</v>
      </c>
      <c r="E66" s="6" t="s">
        <v>790</v>
      </c>
      <c r="F66" s="6" t="s">
        <v>797</v>
      </c>
      <c r="G66" s="7">
        <f>IFERROR(_xlfn.XLOOKUP([1]!Registre[[#This Row],[ID_Antenne]],[1]Log_Réseaux!B:B,[1]Log_Réseaux!C:C),"NA")</f>
        <v>8</v>
      </c>
      <c r="H66" s="7">
        <f>IFERROR(_xlfn.XLOOKUP([1]!Registre[[#This Row],[ID_Antenne]],[1]Log_Réseaux!B:B,[1]Log_Réseaux!D:D),"NA")</f>
        <v>442</v>
      </c>
    </row>
    <row r="67" spans="1:8" x14ac:dyDescent="0.25">
      <c r="A67" s="6" t="s">
        <v>861</v>
      </c>
      <c r="B67" s="6" t="s">
        <v>6</v>
      </c>
      <c r="C67" s="6">
        <v>-12.824638999999999</v>
      </c>
      <c r="D67" s="6">
        <v>24.407249</v>
      </c>
      <c r="E67" s="6" t="s">
        <v>796</v>
      </c>
      <c r="F67" s="6" t="s">
        <v>797</v>
      </c>
      <c r="G67" s="7">
        <f>IFERROR(_xlfn.XLOOKUP([1]!Registre[[#This Row],[ID_Antenne]],[1]Log_Réseaux!B:B,[1]Log_Réseaux!C:C),"NA")</f>
        <v>5</v>
      </c>
      <c r="H67" s="7">
        <f>IFERROR(_xlfn.XLOOKUP([1]!Registre[[#This Row],[ID_Antenne]],[1]Log_Réseaux!B:B,[1]Log_Réseaux!D:D),"NA")</f>
        <v>371</v>
      </c>
    </row>
    <row r="68" spans="1:8" x14ac:dyDescent="0.25">
      <c r="A68" s="6" t="s">
        <v>862</v>
      </c>
      <c r="B68" s="6" t="s">
        <v>42</v>
      </c>
      <c r="C68" s="6">
        <v>4.8689660000000003</v>
      </c>
      <c r="D68" s="6">
        <v>25.112373000000002</v>
      </c>
      <c r="E68" s="6" t="s">
        <v>800</v>
      </c>
      <c r="F68" s="6" t="s">
        <v>797</v>
      </c>
      <c r="G68" s="7">
        <f>IFERROR(_xlfn.XLOOKUP([1]!Registre[[#This Row],[ID_Antenne]],[1]Log_Réseaux!B:B,[1]Log_Réseaux!C:C),"NA")</f>
        <v>3</v>
      </c>
      <c r="H68" s="7">
        <f>IFERROR(_xlfn.XLOOKUP([1]!Registre[[#This Row],[ID_Antenne]],[1]Log_Réseaux!B:B,[1]Log_Réseaux!D:D),"NA")</f>
        <v>192</v>
      </c>
    </row>
    <row r="69" spans="1:8" x14ac:dyDescent="0.25">
      <c r="A69" s="6" t="s">
        <v>863</v>
      </c>
      <c r="B69" s="6" t="s">
        <v>62</v>
      </c>
      <c r="C69" s="6">
        <v>-9.8995180000000005</v>
      </c>
      <c r="D69" s="6">
        <v>24.156687999999999</v>
      </c>
      <c r="E69" s="6" t="s">
        <v>790</v>
      </c>
      <c r="F69" s="6" t="s">
        <v>802</v>
      </c>
      <c r="G69" s="7">
        <f>IFERROR(_xlfn.XLOOKUP([1]!Registre[[#This Row],[ID_Antenne]],[1]Log_Réseaux!B:B,[1]Log_Réseaux!C:C),"NA")</f>
        <v>3</v>
      </c>
      <c r="H69" s="7">
        <f>IFERROR(_xlfn.XLOOKUP([1]!Registre[[#This Row],[ID_Antenne]],[1]Log_Réseaux!B:B,[1]Log_Réseaux!D:D),"NA")</f>
        <v>196</v>
      </c>
    </row>
    <row r="70" spans="1:8" x14ac:dyDescent="0.25">
      <c r="A70" s="6" t="s">
        <v>864</v>
      </c>
      <c r="B70" s="6" t="s">
        <v>156</v>
      </c>
      <c r="C70" s="6">
        <v>-1.7476179999999999</v>
      </c>
      <c r="D70" s="6">
        <v>18.129401000000001</v>
      </c>
      <c r="E70" s="6" t="s">
        <v>790</v>
      </c>
      <c r="F70" s="6" t="s">
        <v>802</v>
      </c>
      <c r="G70" s="7">
        <f>IFERROR(_xlfn.XLOOKUP([1]!Registre[[#This Row],[ID_Antenne]],[1]Log_Réseaux!B:B,[1]Log_Réseaux!C:C),"NA")</f>
        <v>3</v>
      </c>
      <c r="H70" s="7">
        <f>IFERROR(_xlfn.XLOOKUP([1]!Registre[[#This Row],[ID_Antenne]],[1]Log_Réseaux!B:B,[1]Log_Réseaux!D:D),"NA")</f>
        <v>79</v>
      </c>
    </row>
    <row r="71" spans="1:8" x14ac:dyDescent="0.25">
      <c r="A71" s="6" t="s">
        <v>865</v>
      </c>
      <c r="B71" s="6" t="s">
        <v>15</v>
      </c>
      <c r="C71" s="6">
        <v>-4.9108280000000004</v>
      </c>
      <c r="D71" s="6">
        <v>17.670389</v>
      </c>
      <c r="E71" s="6" t="s">
        <v>796</v>
      </c>
      <c r="F71" s="6" t="s">
        <v>791</v>
      </c>
      <c r="G71" s="7">
        <f>IFERROR(_xlfn.XLOOKUP([1]!Registre[[#This Row],[ID_Antenne]],[1]Log_Réseaux!B:B,[1]Log_Réseaux!C:C),"NA")</f>
        <v>4</v>
      </c>
      <c r="H71" s="7">
        <f>IFERROR(_xlfn.XLOOKUP([1]!Registre[[#This Row],[ID_Antenne]],[1]Log_Réseaux!B:B,[1]Log_Réseaux!D:D),"NA")</f>
        <v>212</v>
      </c>
    </row>
    <row r="72" spans="1:8" x14ac:dyDescent="0.25">
      <c r="A72" s="6" t="s">
        <v>866</v>
      </c>
      <c r="B72" s="6" t="s">
        <v>72</v>
      </c>
      <c r="C72" s="6">
        <v>0.94539899999999999</v>
      </c>
      <c r="D72" s="6">
        <v>14.401821999999999</v>
      </c>
      <c r="E72" s="6" t="s">
        <v>796</v>
      </c>
      <c r="F72" s="6" t="s">
        <v>793</v>
      </c>
      <c r="G72" s="7">
        <f>IFERROR(_xlfn.XLOOKUP([1]!Registre[[#This Row],[ID_Antenne]],[1]Log_Réseaux!B:B,[1]Log_Réseaux!C:C),"NA")</f>
        <v>10</v>
      </c>
      <c r="H72" s="7">
        <f>IFERROR(_xlfn.XLOOKUP([1]!Registre[[#This Row],[ID_Antenne]],[1]Log_Réseaux!B:B,[1]Log_Réseaux!D:D),"NA")</f>
        <v>599</v>
      </c>
    </row>
    <row r="73" spans="1:8" x14ac:dyDescent="0.25">
      <c r="A73" s="6" t="s">
        <v>867</v>
      </c>
      <c r="B73" s="6" t="s">
        <v>15</v>
      </c>
      <c r="C73" s="6">
        <v>-10.977309</v>
      </c>
      <c r="D73" s="6">
        <v>12.408281000000001</v>
      </c>
      <c r="E73" s="6" t="s">
        <v>796</v>
      </c>
      <c r="F73" s="6" t="s">
        <v>791</v>
      </c>
      <c r="G73" s="7">
        <f>IFERROR(_xlfn.XLOOKUP([1]!Registre[[#This Row],[ID_Antenne]],[1]Log_Réseaux!B:B,[1]Log_Réseaux!C:C),"NA")</f>
        <v>5</v>
      </c>
      <c r="H73" s="7">
        <f>IFERROR(_xlfn.XLOOKUP([1]!Registre[[#This Row],[ID_Antenne]],[1]Log_Réseaux!B:B,[1]Log_Réseaux!D:D),"NA")</f>
        <v>454</v>
      </c>
    </row>
    <row r="74" spans="1:8" x14ac:dyDescent="0.25">
      <c r="A74" s="6" t="s">
        <v>868</v>
      </c>
      <c r="B74" s="6" t="s">
        <v>38</v>
      </c>
      <c r="C74" s="6">
        <v>2.4414509999999998</v>
      </c>
      <c r="D74" s="6">
        <v>30.167489</v>
      </c>
      <c r="E74" s="6" t="s">
        <v>796</v>
      </c>
      <c r="F74" s="6" t="s">
        <v>793</v>
      </c>
      <c r="G74" s="7">
        <f>IFERROR(_xlfn.XLOOKUP([1]!Registre[[#This Row],[ID_Antenne]],[1]Log_Réseaux!B:B,[1]Log_Réseaux!C:C),"NA")</f>
        <v>8</v>
      </c>
      <c r="H74" s="7">
        <f>IFERROR(_xlfn.XLOOKUP([1]!Registre[[#This Row],[ID_Antenne]],[1]Log_Réseaux!B:B,[1]Log_Réseaux!D:D),"NA")</f>
        <v>562</v>
      </c>
    </row>
    <row r="75" spans="1:8" x14ac:dyDescent="0.25">
      <c r="A75" s="6" t="s">
        <v>869</v>
      </c>
      <c r="B75" s="6"/>
      <c r="C75" s="6">
        <v>-8.4875830000000008</v>
      </c>
      <c r="D75" s="6">
        <v>19.436312000000001</v>
      </c>
      <c r="E75" s="6" t="s">
        <v>796</v>
      </c>
      <c r="F75" s="6" t="s">
        <v>797</v>
      </c>
      <c r="G75" s="7" t="str">
        <f>IFERROR(_xlfn.XLOOKUP([1]!Registre[[#This Row],[ID_Antenne]],[1]Log_Réseaux!B:B,[1]Log_Réseaux!C:C),"NA")</f>
        <v>NA</v>
      </c>
      <c r="H75" s="7" t="str">
        <f>IFERROR(_xlfn.XLOOKUP([1]!Registre[[#This Row],[ID_Antenne]],[1]Log_Réseaux!B:B,[1]Log_Réseaux!D:D),"NA")</f>
        <v>NA</v>
      </c>
    </row>
    <row r="76" spans="1:8" x14ac:dyDescent="0.25">
      <c r="A76" s="6" t="s">
        <v>870</v>
      </c>
      <c r="B76" s="6" t="s">
        <v>69</v>
      </c>
      <c r="C76" s="6">
        <v>-1.648326</v>
      </c>
      <c r="D76" s="6">
        <v>25.528901999999999</v>
      </c>
      <c r="E76" s="6" t="s">
        <v>790</v>
      </c>
      <c r="F76" s="6" t="s">
        <v>797</v>
      </c>
      <c r="G76" s="7">
        <f>IFERROR(_xlfn.XLOOKUP([1]!Registre[[#This Row],[ID_Antenne]],[1]Log_Réseaux!B:B,[1]Log_Réseaux!C:C),"NA")</f>
        <v>3</v>
      </c>
      <c r="H76" s="7">
        <f>IFERROR(_xlfn.XLOOKUP([1]!Registre[[#This Row],[ID_Antenne]],[1]Log_Réseaux!B:B,[1]Log_Réseaux!D:D),"NA")</f>
        <v>105</v>
      </c>
    </row>
    <row r="77" spans="1:8" x14ac:dyDescent="0.25">
      <c r="A77" s="6" t="s">
        <v>871</v>
      </c>
      <c r="B77" s="6" t="s">
        <v>97</v>
      </c>
      <c r="C77" s="6">
        <v>-11.389362</v>
      </c>
      <c r="D77" s="6">
        <v>22.240174</v>
      </c>
      <c r="E77" s="6" t="s">
        <v>796</v>
      </c>
      <c r="F77" s="6" t="s">
        <v>791</v>
      </c>
      <c r="G77" s="7">
        <f>IFERROR(_xlfn.XLOOKUP([1]!Registre[[#This Row],[ID_Antenne]],[1]Log_Réseaux!B:B,[1]Log_Réseaux!C:C),"NA")</f>
        <v>8</v>
      </c>
      <c r="H77" s="7">
        <f>IFERROR(_xlfn.XLOOKUP([1]!Registre[[#This Row],[ID_Antenne]],[1]Log_Réseaux!B:B,[1]Log_Réseaux!D:D),"NA")</f>
        <v>461</v>
      </c>
    </row>
    <row r="78" spans="1:8" x14ac:dyDescent="0.25">
      <c r="A78" s="6" t="s">
        <v>872</v>
      </c>
      <c r="B78" s="6" t="s">
        <v>48</v>
      </c>
      <c r="C78" s="6">
        <v>-0.54908599999999996</v>
      </c>
      <c r="D78" s="6">
        <v>14.816867</v>
      </c>
      <c r="E78" s="6" t="s">
        <v>796</v>
      </c>
      <c r="F78" s="6" t="s">
        <v>791</v>
      </c>
      <c r="G78" s="7">
        <f>IFERROR(_xlfn.XLOOKUP([1]!Registre[[#This Row],[ID_Antenne]],[1]Log_Réseaux!B:B,[1]Log_Réseaux!C:C),"NA")</f>
        <v>5</v>
      </c>
      <c r="H78" s="7">
        <f>IFERROR(_xlfn.XLOOKUP([1]!Registre[[#This Row],[ID_Antenne]],[1]Log_Réseaux!B:B,[1]Log_Réseaux!D:D),"NA")</f>
        <v>296</v>
      </c>
    </row>
    <row r="79" spans="1:8" x14ac:dyDescent="0.25">
      <c r="A79" s="6" t="s">
        <v>873</v>
      </c>
      <c r="B79" s="6" t="s">
        <v>48</v>
      </c>
      <c r="C79" s="6">
        <v>-10.56448</v>
      </c>
      <c r="D79" s="6">
        <v>19.792876</v>
      </c>
      <c r="E79" s="6" t="s">
        <v>796</v>
      </c>
      <c r="F79" s="6" t="s">
        <v>802</v>
      </c>
      <c r="G79" s="7">
        <f>IFERROR(_xlfn.XLOOKUP([1]!Registre[[#This Row],[ID_Antenne]],[1]Log_Réseaux!B:B,[1]Log_Réseaux!C:C),"NA")</f>
        <v>11</v>
      </c>
      <c r="H79" s="7">
        <f>IFERROR(_xlfn.XLOOKUP([1]!Registre[[#This Row],[ID_Antenne]],[1]Log_Réseaux!B:B,[1]Log_Réseaux!D:D),"NA")</f>
        <v>456</v>
      </c>
    </row>
    <row r="80" spans="1:8" x14ac:dyDescent="0.25">
      <c r="A80" s="6" t="s">
        <v>874</v>
      </c>
      <c r="B80" s="6" t="s">
        <v>22</v>
      </c>
      <c r="C80" s="6">
        <v>-12.244119</v>
      </c>
      <c r="D80" s="6">
        <v>28.279755999999999</v>
      </c>
      <c r="E80" s="6" t="s">
        <v>796</v>
      </c>
      <c r="F80" s="6" t="s">
        <v>791</v>
      </c>
      <c r="G80" s="7">
        <f>IFERROR(_xlfn.XLOOKUP([1]!Registre[[#This Row],[ID_Antenne]],[1]Log_Réseaux!B:B,[1]Log_Réseaux!C:C),"NA")</f>
        <v>4</v>
      </c>
      <c r="H80" s="7">
        <f>IFERROR(_xlfn.XLOOKUP([1]!Registre[[#This Row],[ID_Antenne]],[1]Log_Réseaux!B:B,[1]Log_Réseaux!D:D),"NA")</f>
        <v>255</v>
      </c>
    </row>
    <row r="81" spans="1:8" x14ac:dyDescent="0.25">
      <c r="A81" s="6" t="s">
        <v>875</v>
      </c>
      <c r="B81" s="6" t="s">
        <v>9</v>
      </c>
      <c r="C81" s="6">
        <v>-3.571288</v>
      </c>
      <c r="D81" s="6">
        <v>12.931596000000001</v>
      </c>
      <c r="E81" s="6" t="s">
        <v>790</v>
      </c>
      <c r="F81" s="6" t="s">
        <v>793</v>
      </c>
      <c r="G81" s="7">
        <f>IFERROR(_xlfn.XLOOKUP([1]!Registre[[#This Row],[ID_Antenne]],[1]Log_Réseaux!B:B,[1]Log_Réseaux!C:C),"NA")</f>
        <v>2</v>
      </c>
      <c r="H81" s="7">
        <f>IFERROR(_xlfn.XLOOKUP([1]!Registre[[#This Row],[ID_Antenne]],[1]Log_Réseaux!B:B,[1]Log_Réseaux!D:D),"NA")</f>
        <v>137</v>
      </c>
    </row>
    <row r="82" spans="1:8" x14ac:dyDescent="0.25">
      <c r="A82" s="6" t="s">
        <v>876</v>
      </c>
      <c r="B82" s="6" t="s">
        <v>156</v>
      </c>
      <c r="C82" s="6">
        <v>2.266232</v>
      </c>
      <c r="D82" s="6">
        <v>29.532896000000001</v>
      </c>
      <c r="E82" s="6" t="s">
        <v>790</v>
      </c>
      <c r="F82" s="6" t="s">
        <v>802</v>
      </c>
      <c r="G82" s="7">
        <f>IFERROR(_xlfn.XLOOKUP([1]!Registre[[#This Row],[ID_Antenne]],[1]Log_Réseaux!B:B,[1]Log_Réseaux!C:C),"NA")</f>
        <v>4</v>
      </c>
      <c r="H82" s="7">
        <f>IFERROR(_xlfn.XLOOKUP([1]!Registre[[#This Row],[ID_Antenne]],[1]Log_Réseaux!B:B,[1]Log_Réseaux!D:D),"NA")</f>
        <v>221</v>
      </c>
    </row>
    <row r="83" spans="1:8" x14ac:dyDescent="0.25">
      <c r="A83" s="6" t="s">
        <v>877</v>
      </c>
      <c r="B83" s="6" t="s">
        <v>28</v>
      </c>
      <c r="C83" s="6">
        <v>3.08182</v>
      </c>
      <c r="D83" s="6">
        <v>29.961940999999999</v>
      </c>
      <c r="E83" s="6" t="s">
        <v>790</v>
      </c>
      <c r="F83" s="6" t="s">
        <v>797</v>
      </c>
      <c r="G83" s="7">
        <f>IFERROR(_xlfn.XLOOKUP([1]!Registre[[#This Row],[ID_Antenne]],[1]Log_Réseaux!B:B,[1]Log_Réseaux!C:C),"NA")</f>
        <v>5</v>
      </c>
      <c r="H83" s="7">
        <f>IFERROR(_xlfn.XLOOKUP([1]!Registre[[#This Row],[ID_Antenne]],[1]Log_Réseaux!B:B,[1]Log_Réseaux!D:D),"NA")</f>
        <v>314</v>
      </c>
    </row>
    <row r="84" spans="1:8" x14ac:dyDescent="0.25">
      <c r="A84" s="6" t="s">
        <v>878</v>
      </c>
      <c r="B84" s="6" t="s">
        <v>28</v>
      </c>
      <c r="C84" s="6">
        <v>0.850665</v>
      </c>
      <c r="D84" s="6">
        <v>19.446418000000001</v>
      </c>
      <c r="E84" s="6" t="s">
        <v>790</v>
      </c>
      <c r="F84" s="6" t="s">
        <v>797</v>
      </c>
      <c r="G84" s="7">
        <f>IFERROR(_xlfn.XLOOKUP([1]!Registre[[#This Row],[ID_Antenne]],[1]Log_Réseaux!B:B,[1]Log_Réseaux!C:C),"NA")</f>
        <v>3</v>
      </c>
      <c r="H84" s="7">
        <f>IFERROR(_xlfn.XLOOKUP([1]!Registre[[#This Row],[ID_Antenne]],[1]Log_Réseaux!B:B,[1]Log_Réseaux!D:D),"NA")</f>
        <v>164</v>
      </c>
    </row>
    <row r="85" spans="1:8" x14ac:dyDescent="0.25">
      <c r="A85" s="6" t="s">
        <v>879</v>
      </c>
      <c r="B85" s="6" t="s">
        <v>42</v>
      </c>
      <c r="C85" s="6">
        <v>4.1464489999999996</v>
      </c>
      <c r="D85" s="6">
        <v>17.793337000000001</v>
      </c>
      <c r="E85" s="6" t="s">
        <v>796</v>
      </c>
      <c r="F85" s="6" t="s">
        <v>791</v>
      </c>
      <c r="G85" s="7">
        <f>IFERROR(_xlfn.XLOOKUP([1]!Registre[[#This Row],[ID_Antenne]],[1]Log_Réseaux!B:B,[1]Log_Réseaux!C:C),"NA")</f>
        <v>7</v>
      </c>
      <c r="H85" s="7">
        <f>IFERROR(_xlfn.XLOOKUP([1]!Registre[[#This Row],[ID_Antenne]],[1]Log_Réseaux!B:B,[1]Log_Réseaux!D:D),"NA")</f>
        <v>434</v>
      </c>
    </row>
    <row r="86" spans="1:8" x14ac:dyDescent="0.25">
      <c r="A86" s="6" t="s">
        <v>880</v>
      </c>
      <c r="B86" s="6" t="s">
        <v>32</v>
      </c>
      <c r="C86" s="6">
        <v>0.92885200000000001</v>
      </c>
      <c r="D86" s="6">
        <v>25.868548000000001</v>
      </c>
      <c r="E86" s="6" t="s">
        <v>796</v>
      </c>
      <c r="F86" s="6" t="s">
        <v>793</v>
      </c>
      <c r="G86" s="7">
        <f>IFERROR(_xlfn.XLOOKUP([1]!Registre[[#This Row],[ID_Antenne]],[1]Log_Réseaux!B:B,[1]Log_Réseaux!C:C),"NA")</f>
        <v>5</v>
      </c>
      <c r="H86" s="7">
        <f>IFERROR(_xlfn.XLOOKUP([1]!Registre[[#This Row],[ID_Antenne]],[1]Log_Réseaux!B:B,[1]Log_Réseaux!D:D),"NA")</f>
        <v>328</v>
      </c>
    </row>
    <row r="87" spans="1:8" x14ac:dyDescent="0.25">
      <c r="A87" s="6" t="s">
        <v>881</v>
      </c>
      <c r="B87" s="6" t="s">
        <v>65</v>
      </c>
      <c r="C87" s="6">
        <v>2.4425979999999998</v>
      </c>
      <c r="D87" s="6">
        <v>24.924308</v>
      </c>
      <c r="E87" s="6" t="s">
        <v>796</v>
      </c>
      <c r="F87" s="6" t="s">
        <v>802</v>
      </c>
      <c r="G87" s="7">
        <f>IFERROR(_xlfn.XLOOKUP([1]!Registre[[#This Row],[ID_Antenne]],[1]Log_Réseaux!B:B,[1]Log_Réseaux!C:C),"NA")</f>
        <v>5</v>
      </c>
      <c r="H87" s="7">
        <f>IFERROR(_xlfn.XLOOKUP([1]!Registre[[#This Row],[ID_Antenne]],[1]Log_Réseaux!B:B,[1]Log_Réseaux!D:D),"NA")</f>
        <v>229</v>
      </c>
    </row>
    <row r="88" spans="1:8" x14ac:dyDescent="0.25">
      <c r="A88" s="6" t="s">
        <v>882</v>
      </c>
      <c r="B88" s="6" t="s">
        <v>156</v>
      </c>
      <c r="C88" s="6">
        <v>-3.234483</v>
      </c>
      <c r="D88" s="6">
        <v>13.241939</v>
      </c>
      <c r="E88" s="6" t="s">
        <v>790</v>
      </c>
      <c r="F88" s="6" t="s">
        <v>791</v>
      </c>
      <c r="G88" s="7">
        <f>IFERROR(_xlfn.XLOOKUP([1]!Registre[[#This Row],[ID_Antenne]],[1]Log_Réseaux!B:B,[1]Log_Réseaux!C:C),"NA")</f>
        <v>5</v>
      </c>
      <c r="H88" s="7">
        <f>IFERROR(_xlfn.XLOOKUP([1]!Registre[[#This Row],[ID_Antenne]],[1]Log_Réseaux!B:B,[1]Log_Réseaux!D:D),"NA")</f>
        <v>316</v>
      </c>
    </row>
    <row r="89" spans="1:8" x14ac:dyDescent="0.25">
      <c r="A89" s="6" t="s">
        <v>883</v>
      </c>
      <c r="B89" s="6" t="s">
        <v>62</v>
      </c>
      <c r="C89" s="6">
        <v>4.8319039999999998</v>
      </c>
      <c r="D89" s="6">
        <v>20.733468999999999</v>
      </c>
      <c r="E89" s="6" t="s">
        <v>796</v>
      </c>
      <c r="F89" s="6" t="s">
        <v>802</v>
      </c>
      <c r="G89" s="7">
        <f>IFERROR(_xlfn.XLOOKUP([1]!Registre[[#This Row],[ID_Antenne]],[1]Log_Réseaux!B:B,[1]Log_Réseaux!C:C),"NA")</f>
        <v>5</v>
      </c>
      <c r="H89" s="7">
        <f>IFERROR(_xlfn.XLOOKUP([1]!Registre[[#This Row],[ID_Antenne]],[1]Log_Réseaux!B:B,[1]Log_Réseaux!D:D),"NA")</f>
        <v>307</v>
      </c>
    </row>
    <row r="90" spans="1:8" x14ac:dyDescent="0.25">
      <c r="A90" s="6" t="s">
        <v>884</v>
      </c>
      <c r="B90" s="6" t="s">
        <v>9</v>
      </c>
      <c r="C90" s="6">
        <v>-10.161428000000001</v>
      </c>
      <c r="D90" s="6">
        <v>19.362325999999999</v>
      </c>
      <c r="E90" s="6" t="s">
        <v>800</v>
      </c>
      <c r="F90" s="6" t="s">
        <v>793</v>
      </c>
      <c r="G90" s="7">
        <f>IFERROR(_xlfn.XLOOKUP([1]!Registre[[#This Row],[ID_Antenne]],[1]Log_Réseaux!B:B,[1]Log_Réseaux!C:C),"NA")</f>
        <v>2</v>
      </c>
      <c r="H90" s="7">
        <f>IFERROR(_xlfn.XLOOKUP([1]!Registre[[#This Row],[ID_Antenne]],[1]Log_Réseaux!B:B,[1]Log_Réseaux!D:D),"NA")</f>
        <v>165</v>
      </c>
    </row>
    <row r="91" spans="1:8" x14ac:dyDescent="0.25">
      <c r="A91" s="6" t="s">
        <v>885</v>
      </c>
      <c r="B91" s="6" t="s">
        <v>40</v>
      </c>
      <c r="C91" s="6">
        <v>1.2391989999999999</v>
      </c>
      <c r="D91" s="6">
        <v>15.386718999999999</v>
      </c>
      <c r="E91" s="6" t="s">
        <v>796</v>
      </c>
      <c r="F91" s="6" t="s">
        <v>791</v>
      </c>
      <c r="G91" s="7">
        <f>IFERROR(_xlfn.XLOOKUP([1]!Registre[[#This Row],[ID_Antenne]],[1]Log_Réseaux!B:B,[1]Log_Réseaux!C:C),"NA")</f>
        <v>9</v>
      </c>
      <c r="H91" s="7">
        <f>IFERROR(_xlfn.XLOOKUP([1]!Registre[[#This Row],[ID_Antenne]],[1]Log_Réseaux!B:B,[1]Log_Réseaux!D:D),"NA")</f>
        <v>494</v>
      </c>
    </row>
    <row r="92" spans="1:8" x14ac:dyDescent="0.25">
      <c r="A92" s="6" t="s">
        <v>886</v>
      </c>
      <c r="B92" s="6" t="s">
        <v>32</v>
      </c>
      <c r="C92" s="6">
        <v>-6.0234120000000004</v>
      </c>
      <c r="D92" s="6">
        <v>18.314309999999999</v>
      </c>
      <c r="E92" s="6" t="s">
        <v>796</v>
      </c>
      <c r="F92" s="6" t="s">
        <v>791</v>
      </c>
      <c r="G92" s="7">
        <f>IFERROR(_xlfn.XLOOKUP([1]!Registre[[#This Row],[ID_Antenne]],[1]Log_Réseaux!B:B,[1]Log_Réseaux!C:C),"NA")</f>
        <v>4</v>
      </c>
      <c r="H92" s="7">
        <f>IFERROR(_xlfn.XLOOKUP([1]!Registre[[#This Row],[ID_Antenne]],[1]Log_Réseaux!B:B,[1]Log_Réseaux!D:D),"NA")</f>
        <v>257</v>
      </c>
    </row>
    <row r="93" spans="1:8" x14ac:dyDescent="0.25">
      <c r="A93" s="6" t="s">
        <v>887</v>
      </c>
      <c r="B93" s="6" t="s">
        <v>40</v>
      </c>
      <c r="C93" s="6">
        <v>-2.5254650000000001</v>
      </c>
      <c r="D93" s="6">
        <v>21.338113</v>
      </c>
      <c r="E93" s="6" t="s">
        <v>796</v>
      </c>
      <c r="F93" s="6" t="s">
        <v>793</v>
      </c>
      <c r="G93" s="7">
        <f>IFERROR(_xlfn.XLOOKUP([1]!Registre[[#This Row],[ID_Antenne]],[1]Log_Réseaux!B:B,[1]Log_Réseaux!C:C),"NA")</f>
        <v>1</v>
      </c>
      <c r="H93" s="7">
        <f>IFERROR(_xlfn.XLOOKUP([1]!Registre[[#This Row],[ID_Antenne]],[1]Log_Réseaux!B:B,[1]Log_Réseaux!D:D),"NA")</f>
        <v>26</v>
      </c>
    </row>
    <row r="94" spans="1:8" x14ac:dyDescent="0.25">
      <c r="A94" s="6" t="s">
        <v>888</v>
      </c>
      <c r="B94" s="6" t="s">
        <v>24</v>
      </c>
      <c r="C94" s="6">
        <v>-12.018316</v>
      </c>
      <c r="D94" s="6">
        <v>16.700451000000001</v>
      </c>
      <c r="E94" s="6" t="s">
        <v>800</v>
      </c>
      <c r="F94" s="6" t="s">
        <v>793</v>
      </c>
      <c r="G94" s="7">
        <f>IFERROR(_xlfn.XLOOKUP([1]!Registre[[#This Row],[ID_Antenne]],[1]Log_Réseaux!B:B,[1]Log_Réseaux!C:C),"NA")</f>
        <v>2</v>
      </c>
      <c r="H94" s="7">
        <f>IFERROR(_xlfn.XLOOKUP([1]!Registre[[#This Row],[ID_Antenne]],[1]Log_Réseaux!B:B,[1]Log_Réseaux!D:D),"NA")</f>
        <v>140</v>
      </c>
    </row>
    <row r="95" spans="1:8" x14ac:dyDescent="0.25">
      <c r="A95" s="6" t="s">
        <v>889</v>
      </c>
      <c r="B95" s="6" t="s">
        <v>72</v>
      </c>
      <c r="C95" s="6">
        <v>8.5490999999999998E-2</v>
      </c>
      <c r="D95" s="6">
        <v>26.296129000000001</v>
      </c>
      <c r="E95" s="6" t="s">
        <v>800</v>
      </c>
      <c r="F95" s="6" t="s">
        <v>791</v>
      </c>
      <c r="G95" s="7">
        <f>IFERROR(_xlfn.XLOOKUP([1]!Registre[[#This Row],[ID_Antenne]],[1]Log_Réseaux!B:B,[1]Log_Réseaux!C:C),"NA")</f>
        <v>8</v>
      </c>
      <c r="H95" s="7">
        <f>IFERROR(_xlfn.XLOOKUP([1]!Registre[[#This Row],[ID_Antenne]],[1]Log_Réseaux!B:B,[1]Log_Réseaux!D:D),"NA")</f>
        <v>374</v>
      </c>
    </row>
    <row r="96" spans="1:8" x14ac:dyDescent="0.25">
      <c r="A96" s="6" t="s">
        <v>890</v>
      </c>
      <c r="B96" s="6" t="s">
        <v>48</v>
      </c>
      <c r="C96" s="6">
        <v>-8.0864899999999995</v>
      </c>
      <c r="D96" s="6">
        <v>14.555277</v>
      </c>
      <c r="E96" s="6" t="s">
        <v>800</v>
      </c>
      <c r="F96" s="6" t="s">
        <v>802</v>
      </c>
      <c r="G96" s="7">
        <f>IFERROR(_xlfn.XLOOKUP([1]!Registre[[#This Row],[ID_Antenne]],[1]Log_Réseaux!B:B,[1]Log_Réseaux!C:C),"NA")</f>
        <v>7</v>
      </c>
      <c r="H96" s="7">
        <f>IFERROR(_xlfn.XLOOKUP([1]!Registre[[#This Row],[ID_Antenne]],[1]Log_Réseaux!B:B,[1]Log_Réseaux!D:D),"NA")</f>
        <v>516</v>
      </c>
    </row>
    <row r="97" spans="1:8" x14ac:dyDescent="0.25">
      <c r="A97" s="6" t="s">
        <v>891</v>
      </c>
      <c r="B97" s="6" t="s">
        <v>97</v>
      </c>
      <c r="C97" s="6">
        <v>1.217457</v>
      </c>
      <c r="D97" s="6">
        <v>25.48668</v>
      </c>
      <c r="E97" s="6" t="s">
        <v>796</v>
      </c>
      <c r="F97" s="6" t="s">
        <v>793</v>
      </c>
      <c r="G97" s="7">
        <f>IFERROR(_xlfn.XLOOKUP([1]!Registre[[#This Row],[ID_Antenne]],[1]Log_Réseaux!B:B,[1]Log_Réseaux!C:C),"NA")</f>
        <v>2</v>
      </c>
      <c r="H97" s="7">
        <f>IFERROR(_xlfn.XLOOKUP([1]!Registre[[#This Row],[ID_Antenne]],[1]Log_Réseaux!B:B,[1]Log_Réseaux!D:D),"NA")</f>
        <v>111</v>
      </c>
    </row>
    <row r="98" spans="1:8" x14ac:dyDescent="0.25">
      <c r="A98" s="6" t="s">
        <v>892</v>
      </c>
      <c r="B98" s="6" t="s">
        <v>24</v>
      </c>
      <c r="C98" s="6">
        <v>3.0788669999999998</v>
      </c>
      <c r="D98" s="6">
        <v>19.513650999999999</v>
      </c>
      <c r="E98" s="6" t="s">
        <v>796</v>
      </c>
      <c r="F98" s="6" t="s">
        <v>797</v>
      </c>
      <c r="G98" s="7" t="str">
        <f>IFERROR(_xlfn.XLOOKUP([1]!Registre[[#This Row],[ID_Antenne]],[1]Log_Réseaux!B:B,[1]Log_Réseaux!C:C),"NA")</f>
        <v>NA</v>
      </c>
      <c r="H98" s="7" t="str">
        <f>IFERROR(_xlfn.XLOOKUP([1]!Registre[[#This Row],[ID_Antenne]],[1]Log_Réseaux!B:B,[1]Log_Réseaux!D:D),"NA")</f>
        <v>NA</v>
      </c>
    </row>
    <row r="99" spans="1:8" x14ac:dyDescent="0.25">
      <c r="A99" s="6" t="s">
        <v>893</v>
      </c>
      <c r="B99" s="6" t="s">
        <v>105</v>
      </c>
      <c r="C99" s="6">
        <v>-1.4110389999999999</v>
      </c>
      <c r="D99" s="6">
        <v>21.261644</v>
      </c>
      <c r="E99" s="6" t="s">
        <v>790</v>
      </c>
      <c r="F99" s="6" t="s">
        <v>791</v>
      </c>
      <c r="G99" s="7">
        <f>IFERROR(_xlfn.XLOOKUP([1]!Registre[[#This Row],[ID_Antenne]],[1]Log_Réseaux!B:B,[1]Log_Réseaux!C:C),"NA")</f>
        <v>3</v>
      </c>
      <c r="H99" s="7">
        <f>IFERROR(_xlfn.XLOOKUP([1]!Registre[[#This Row],[ID_Antenne]],[1]Log_Réseaux!B:B,[1]Log_Réseaux!D:D),"NA")</f>
        <v>270</v>
      </c>
    </row>
    <row r="100" spans="1:8" x14ac:dyDescent="0.25">
      <c r="A100" s="6" t="s">
        <v>894</v>
      </c>
      <c r="B100" s="6" t="s">
        <v>156</v>
      </c>
      <c r="C100" s="6">
        <v>4.0157999999999996</v>
      </c>
      <c r="D100" s="6">
        <v>21.430246</v>
      </c>
      <c r="E100" s="6" t="s">
        <v>796</v>
      </c>
      <c r="F100" s="6" t="s">
        <v>793</v>
      </c>
      <c r="G100" s="7">
        <f>IFERROR(_xlfn.XLOOKUP([1]!Registre[[#This Row],[ID_Antenne]],[1]Log_Réseaux!B:B,[1]Log_Réseaux!C:C),"NA")</f>
        <v>1</v>
      </c>
      <c r="H100" s="7">
        <f>IFERROR(_xlfn.XLOOKUP([1]!Registre[[#This Row],[ID_Antenne]],[1]Log_Réseaux!B:B,[1]Log_Réseaux!D:D),"NA")</f>
        <v>82</v>
      </c>
    </row>
    <row r="101" spans="1:8" x14ac:dyDescent="0.25">
      <c r="A101" s="6" t="s">
        <v>895</v>
      </c>
      <c r="B101" s="6" t="s">
        <v>22</v>
      </c>
      <c r="C101" s="6">
        <v>0.89302999999999999</v>
      </c>
      <c r="D101" s="6">
        <v>21.238310999999999</v>
      </c>
      <c r="E101" s="6" t="s">
        <v>796</v>
      </c>
      <c r="F101" s="6" t="s">
        <v>797</v>
      </c>
      <c r="G101" s="7" t="str">
        <f>IFERROR(_xlfn.XLOOKUP([1]!Registre[[#This Row],[ID_Antenne]],[1]Log_Réseaux!B:B,[1]Log_Réseaux!C:C),"NA")</f>
        <v>NA</v>
      </c>
      <c r="H101" s="7" t="str">
        <f>IFERROR(_xlfn.XLOOKUP([1]!Registre[[#This Row],[ID_Antenne]],[1]Log_Réseaux!B:B,[1]Log_Réseaux!D:D),"NA")</f>
        <v>NA</v>
      </c>
    </row>
    <row r="102" spans="1:8" x14ac:dyDescent="0.25">
      <c r="A102" s="6" t="s">
        <v>896</v>
      </c>
      <c r="B102" s="6" t="s">
        <v>46</v>
      </c>
      <c r="C102" s="6">
        <v>0.91016799999999998</v>
      </c>
      <c r="D102" s="6">
        <v>16.903002999999998</v>
      </c>
      <c r="E102" s="6" t="s">
        <v>800</v>
      </c>
      <c r="F102" s="6" t="s">
        <v>793</v>
      </c>
      <c r="G102" s="7" t="str">
        <f>IFERROR(_xlfn.XLOOKUP([1]!Registre[[#This Row],[ID_Antenne]],[1]Log_Réseaux!B:B,[1]Log_Réseaux!C:C),"NA")</f>
        <v>NA</v>
      </c>
      <c r="H102" s="7" t="str">
        <f>IFERROR(_xlfn.XLOOKUP([1]!Registre[[#This Row],[ID_Antenne]],[1]Log_Réseaux!B:B,[1]Log_Réseaux!D:D),"NA")</f>
        <v>NA</v>
      </c>
    </row>
    <row r="103" spans="1:8" x14ac:dyDescent="0.25">
      <c r="A103" s="6" t="s">
        <v>897</v>
      </c>
      <c r="B103" s="6" t="s">
        <v>6</v>
      </c>
      <c r="C103" s="6">
        <v>-10.481026999999999</v>
      </c>
      <c r="D103" s="6">
        <v>18.160464000000001</v>
      </c>
      <c r="E103" s="6" t="s">
        <v>796</v>
      </c>
      <c r="F103" s="6" t="s">
        <v>797</v>
      </c>
      <c r="G103" s="7">
        <f>IFERROR(_xlfn.XLOOKUP([1]!Registre[[#This Row],[ID_Antenne]],[1]Log_Réseaux!B:B,[1]Log_Réseaux!C:C),"NA")</f>
        <v>1</v>
      </c>
      <c r="H103" s="7">
        <f>IFERROR(_xlfn.XLOOKUP([1]!Registre[[#This Row],[ID_Antenne]],[1]Log_Réseaux!B:B,[1]Log_Réseaux!D:D),"NA")</f>
        <v>46</v>
      </c>
    </row>
    <row r="104" spans="1:8" x14ac:dyDescent="0.25">
      <c r="A104" s="6" t="s">
        <v>898</v>
      </c>
      <c r="B104" s="6" t="s">
        <v>38</v>
      </c>
      <c r="C104" s="6">
        <v>-11.514817000000001</v>
      </c>
      <c r="D104" s="6">
        <v>24.891375</v>
      </c>
      <c r="E104" s="6" t="s">
        <v>800</v>
      </c>
      <c r="F104" s="6" t="s">
        <v>793</v>
      </c>
      <c r="G104" s="7">
        <f>IFERROR(_xlfn.XLOOKUP([1]!Registre[[#This Row],[ID_Antenne]],[1]Log_Réseaux!B:B,[1]Log_Réseaux!C:C),"NA")</f>
        <v>2</v>
      </c>
      <c r="H104" s="7">
        <f>IFERROR(_xlfn.XLOOKUP([1]!Registre[[#This Row],[ID_Antenne]],[1]Log_Réseaux!B:B,[1]Log_Réseaux!D:D),"NA")</f>
        <v>53</v>
      </c>
    </row>
    <row r="105" spans="1:8" x14ac:dyDescent="0.25">
      <c r="A105" s="6" t="s">
        <v>899</v>
      </c>
      <c r="B105" s="6" t="s">
        <v>105</v>
      </c>
      <c r="C105" s="6">
        <v>3.175935</v>
      </c>
      <c r="D105" s="6">
        <v>16.862832000000001</v>
      </c>
      <c r="E105" s="6" t="s">
        <v>796</v>
      </c>
      <c r="F105" s="6" t="s">
        <v>802</v>
      </c>
      <c r="G105" s="7">
        <f>IFERROR(_xlfn.XLOOKUP([1]!Registre[[#This Row],[ID_Antenne]],[1]Log_Réseaux!B:B,[1]Log_Réseaux!C:C),"NA")</f>
        <v>1</v>
      </c>
      <c r="H105" s="7">
        <f>IFERROR(_xlfn.XLOOKUP([1]!Registre[[#This Row],[ID_Antenne]],[1]Log_Réseaux!B:B,[1]Log_Réseaux!D:D),"NA")</f>
        <v>87</v>
      </c>
    </row>
    <row r="106" spans="1:8" x14ac:dyDescent="0.25">
      <c r="A106" s="6" t="s">
        <v>900</v>
      </c>
      <c r="B106" s="6" t="s">
        <v>156</v>
      </c>
      <c r="C106" s="6">
        <v>3.8811640000000001</v>
      </c>
      <c r="D106" s="6">
        <v>23.188383999999999</v>
      </c>
      <c r="E106" s="6" t="s">
        <v>796</v>
      </c>
      <c r="F106" s="6" t="s">
        <v>797</v>
      </c>
      <c r="G106" s="7" t="str">
        <f>IFERROR(_xlfn.XLOOKUP([1]!Registre[[#This Row],[ID_Antenne]],[1]Log_Réseaux!B:B,[1]Log_Réseaux!C:C),"NA")</f>
        <v>NA</v>
      </c>
      <c r="H106" s="7" t="str">
        <f>IFERROR(_xlfn.XLOOKUP([1]!Registre[[#This Row],[ID_Antenne]],[1]Log_Réseaux!B:B,[1]Log_Réseaux!D:D),"NA")</f>
        <v>NA</v>
      </c>
    </row>
    <row r="107" spans="1:8" x14ac:dyDescent="0.25">
      <c r="A107" s="6" t="s">
        <v>901</v>
      </c>
      <c r="B107" s="6" t="s">
        <v>57</v>
      </c>
      <c r="C107" s="6">
        <v>2.349755</v>
      </c>
      <c r="D107" s="6">
        <v>29.600649000000001</v>
      </c>
      <c r="E107" s="6" t="s">
        <v>790</v>
      </c>
      <c r="F107" s="6" t="s">
        <v>793</v>
      </c>
      <c r="G107" s="7" t="str">
        <f>IFERROR(_xlfn.XLOOKUP([1]!Registre[[#This Row],[ID_Antenne]],[1]Log_Réseaux!B:B,[1]Log_Réseaux!C:C),"NA")</f>
        <v>NA</v>
      </c>
      <c r="H107" s="7" t="str">
        <f>IFERROR(_xlfn.XLOOKUP([1]!Registre[[#This Row],[ID_Antenne]],[1]Log_Réseaux!B:B,[1]Log_Réseaux!D:D),"NA")</f>
        <v>NA</v>
      </c>
    </row>
    <row r="108" spans="1:8" x14ac:dyDescent="0.25">
      <c r="A108" s="6" t="s">
        <v>902</v>
      </c>
      <c r="B108" s="6" t="s">
        <v>30</v>
      </c>
      <c r="C108" s="6">
        <v>-5.5883039999999999</v>
      </c>
      <c r="D108" s="6">
        <v>26.647739999999999</v>
      </c>
      <c r="E108" s="6" t="s">
        <v>800</v>
      </c>
      <c r="F108" s="6" t="s">
        <v>802</v>
      </c>
      <c r="G108" s="7" t="str">
        <f>IFERROR(_xlfn.XLOOKUP([1]!Registre[[#This Row],[ID_Antenne]],[1]Log_Réseaux!B:B,[1]Log_Réseaux!C:C),"NA")</f>
        <v>NA</v>
      </c>
      <c r="H108" s="7" t="str">
        <f>IFERROR(_xlfn.XLOOKUP([1]!Registre[[#This Row],[ID_Antenne]],[1]Log_Réseaux!B:B,[1]Log_Réseaux!D:D),"NA")</f>
        <v>NA</v>
      </c>
    </row>
    <row r="109" spans="1:8" x14ac:dyDescent="0.25">
      <c r="A109" s="6" t="s">
        <v>903</v>
      </c>
      <c r="B109" s="6" t="s">
        <v>38</v>
      </c>
      <c r="C109" s="6">
        <v>2.7365970000000002</v>
      </c>
      <c r="D109" s="6">
        <v>12.296976000000001</v>
      </c>
      <c r="E109" s="6" t="s">
        <v>790</v>
      </c>
      <c r="F109" s="6" t="s">
        <v>791</v>
      </c>
      <c r="G109" s="7" t="str">
        <f>IFERROR(_xlfn.XLOOKUP([1]!Registre[[#This Row],[ID_Antenne]],[1]Log_Réseaux!B:B,[1]Log_Réseaux!C:C),"NA")</f>
        <v>NA</v>
      </c>
      <c r="H109" s="7" t="str">
        <f>IFERROR(_xlfn.XLOOKUP([1]!Registre[[#This Row],[ID_Antenne]],[1]Log_Réseaux!B:B,[1]Log_Réseaux!D:D),"NA")</f>
        <v>NA</v>
      </c>
    </row>
    <row r="110" spans="1:8" x14ac:dyDescent="0.25">
      <c r="A110" s="6" t="s">
        <v>904</v>
      </c>
      <c r="B110" s="6" t="s">
        <v>38</v>
      </c>
      <c r="C110" s="6">
        <v>-6.8779139999999996</v>
      </c>
      <c r="D110" s="6">
        <v>12.550860999999999</v>
      </c>
      <c r="E110" s="6" t="s">
        <v>796</v>
      </c>
      <c r="F110" s="6" t="s">
        <v>791</v>
      </c>
      <c r="G110" s="7" t="str">
        <f>IFERROR(_xlfn.XLOOKUP([1]!Registre[[#This Row],[ID_Antenne]],[1]Log_Réseaux!B:B,[1]Log_Réseaux!C:C),"NA")</f>
        <v>NA</v>
      </c>
      <c r="H110" s="7" t="str">
        <f>IFERROR(_xlfn.XLOOKUP([1]!Registre[[#This Row],[ID_Antenne]],[1]Log_Réseaux!B:B,[1]Log_Réseaux!D:D),"NA")</f>
        <v>NA</v>
      </c>
    </row>
    <row r="111" spans="1:8" x14ac:dyDescent="0.25">
      <c r="A111" s="6" t="s">
        <v>905</v>
      </c>
      <c r="B111" s="6" t="s">
        <v>32</v>
      </c>
      <c r="C111" s="6">
        <v>-7.9866700000000002</v>
      </c>
      <c r="D111" s="6">
        <v>17.757847000000002</v>
      </c>
      <c r="E111" s="6" t="s">
        <v>796</v>
      </c>
      <c r="F111" s="6" t="s">
        <v>797</v>
      </c>
      <c r="G111" s="7">
        <f>IFERROR(_xlfn.XLOOKUP([1]!Registre[[#This Row],[ID_Antenne]],[1]Log_Réseaux!B:B,[1]Log_Réseaux!C:C),"NA")</f>
        <v>1</v>
      </c>
      <c r="H111" s="7">
        <f>IFERROR(_xlfn.XLOOKUP([1]!Registre[[#This Row],[ID_Antenne]],[1]Log_Réseaux!B:B,[1]Log_Réseaux!D:D),"NA")</f>
        <v>68</v>
      </c>
    </row>
    <row r="112" spans="1:8" x14ac:dyDescent="0.25">
      <c r="A112" s="6" t="s">
        <v>906</v>
      </c>
      <c r="B112" s="6" t="s">
        <v>40</v>
      </c>
      <c r="C112" s="6">
        <v>-8.8118569999999998</v>
      </c>
      <c r="D112" s="6">
        <v>14.465711000000001</v>
      </c>
      <c r="E112" s="6" t="s">
        <v>796</v>
      </c>
      <c r="F112" s="6" t="s">
        <v>793</v>
      </c>
      <c r="G112" s="7">
        <f>IFERROR(_xlfn.XLOOKUP([1]!Registre[[#This Row],[ID_Antenne]],[1]Log_Réseaux!B:B,[1]Log_Réseaux!C:C),"NA")</f>
        <v>1</v>
      </c>
      <c r="H112" s="7">
        <f>IFERROR(_xlfn.XLOOKUP([1]!Registre[[#This Row],[ID_Antenne]],[1]Log_Réseaux!B:B,[1]Log_Réseaux!D:D),"NA")</f>
        <v>112</v>
      </c>
    </row>
    <row r="113" spans="1:8" x14ac:dyDescent="0.25">
      <c r="A113" s="6" t="s">
        <v>907</v>
      </c>
      <c r="B113" s="6" t="s">
        <v>59</v>
      </c>
      <c r="C113" s="6">
        <v>-7.8215969999999997</v>
      </c>
      <c r="D113" s="6">
        <v>26.797349000000001</v>
      </c>
      <c r="E113" s="6" t="s">
        <v>800</v>
      </c>
      <c r="F113" s="6" t="s">
        <v>802</v>
      </c>
      <c r="G113" s="7">
        <f>IFERROR(_xlfn.XLOOKUP([1]!Registre[[#This Row],[ID_Antenne]],[1]Log_Réseaux!B:B,[1]Log_Réseaux!C:C),"NA")</f>
        <v>1</v>
      </c>
      <c r="H113" s="7">
        <f>IFERROR(_xlfn.XLOOKUP([1]!Registre[[#This Row],[ID_Antenne]],[1]Log_Réseaux!B:B,[1]Log_Réseaux!D:D),"NA")</f>
        <v>27</v>
      </c>
    </row>
    <row r="114" spans="1:8" x14ac:dyDescent="0.25">
      <c r="A114" s="6" t="s">
        <v>908</v>
      </c>
      <c r="B114" s="6" t="s">
        <v>48</v>
      </c>
      <c r="C114" s="6">
        <v>-8.6707929999999998</v>
      </c>
      <c r="D114" s="6">
        <v>30.643781000000001</v>
      </c>
      <c r="E114" s="6" t="s">
        <v>790</v>
      </c>
      <c r="F114" s="6" t="s">
        <v>797</v>
      </c>
      <c r="G114" s="7" t="str">
        <f>IFERROR(_xlfn.XLOOKUP([1]!Registre[[#This Row],[ID_Antenne]],[1]Log_Réseaux!B:B,[1]Log_Réseaux!C:C),"NA")</f>
        <v>NA</v>
      </c>
      <c r="H114" s="7" t="str">
        <f>IFERROR(_xlfn.XLOOKUP([1]!Registre[[#This Row],[ID_Antenne]],[1]Log_Réseaux!B:B,[1]Log_Réseaux!D:D),"NA")</f>
        <v>NA</v>
      </c>
    </row>
    <row r="115" spans="1:8" x14ac:dyDescent="0.25">
      <c r="A115" s="6" t="s">
        <v>909</v>
      </c>
      <c r="B115" s="6" t="s">
        <v>24</v>
      </c>
      <c r="C115" s="6">
        <v>-1.9540519999999999</v>
      </c>
      <c r="D115" s="6">
        <v>12.667945</v>
      </c>
      <c r="E115" s="6" t="s">
        <v>790</v>
      </c>
      <c r="F115" s="6" t="s">
        <v>797</v>
      </c>
      <c r="G115" s="7">
        <f>IFERROR(_xlfn.XLOOKUP([1]!Registre[[#This Row],[ID_Antenne]],[1]Log_Réseaux!B:B,[1]Log_Réseaux!C:C),"NA")</f>
        <v>2</v>
      </c>
      <c r="H115" s="7">
        <f>IFERROR(_xlfn.XLOOKUP([1]!Registre[[#This Row],[ID_Antenne]],[1]Log_Réseaux!B:B,[1]Log_Réseaux!D:D),"NA")</f>
        <v>75</v>
      </c>
    </row>
    <row r="116" spans="1:8" x14ac:dyDescent="0.25">
      <c r="A116" s="6" t="s">
        <v>910</v>
      </c>
      <c r="B116" s="6" t="s">
        <v>156</v>
      </c>
      <c r="C116" s="6">
        <v>2.0392079999999999</v>
      </c>
      <c r="D116" s="6">
        <v>19.090841999999999</v>
      </c>
      <c r="E116" s="6" t="s">
        <v>790</v>
      </c>
      <c r="F116" s="6" t="s">
        <v>793</v>
      </c>
      <c r="G116" s="7">
        <f>IFERROR(_xlfn.XLOOKUP([1]!Registre[[#This Row],[ID_Antenne]],[1]Log_Réseaux!B:B,[1]Log_Réseaux!C:C),"NA")</f>
        <v>2</v>
      </c>
      <c r="H116" s="7">
        <f>IFERROR(_xlfn.XLOOKUP([1]!Registre[[#This Row],[ID_Antenne]],[1]Log_Réseaux!B:B,[1]Log_Réseaux!D:D),"NA")</f>
        <v>196</v>
      </c>
    </row>
    <row r="117" spans="1:8" x14ac:dyDescent="0.25">
      <c r="A117" s="6" t="s">
        <v>911</v>
      </c>
      <c r="B117" s="6" t="s">
        <v>40</v>
      </c>
      <c r="C117" s="6">
        <v>4.2873989999999997</v>
      </c>
      <c r="D117" s="6">
        <v>14.756335</v>
      </c>
      <c r="E117" s="6" t="s">
        <v>796</v>
      </c>
      <c r="F117" s="6" t="s">
        <v>802</v>
      </c>
      <c r="G117" s="7" t="str">
        <f>IFERROR(_xlfn.XLOOKUP([1]!Registre[[#This Row],[ID_Antenne]],[1]Log_Réseaux!B:B,[1]Log_Réseaux!C:C),"NA")</f>
        <v>NA</v>
      </c>
      <c r="H117" s="7" t="str">
        <f>IFERROR(_xlfn.XLOOKUP([1]!Registre[[#This Row],[ID_Antenne]],[1]Log_Réseaux!B:B,[1]Log_Réseaux!D:D),"NA")</f>
        <v>NA</v>
      </c>
    </row>
    <row r="118" spans="1:8" x14ac:dyDescent="0.25">
      <c r="A118" s="6" t="s">
        <v>912</v>
      </c>
      <c r="B118" s="6" t="s">
        <v>57</v>
      </c>
      <c r="C118" s="6">
        <v>-12.192204</v>
      </c>
      <c r="D118" s="6">
        <v>28.468682000000001</v>
      </c>
      <c r="E118" s="6" t="s">
        <v>800</v>
      </c>
      <c r="F118" s="6" t="s">
        <v>791</v>
      </c>
      <c r="G118" s="7">
        <f>IFERROR(_xlfn.XLOOKUP([1]!Registre[[#This Row],[ID_Antenne]],[1]Log_Réseaux!B:B,[1]Log_Réseaux!C:C),"NA")</f>
        <v>1</v>
      </c>
      <c r="H118" s="7">
        <f>IFERROR(_xlfn.XLOOKUP([1]!Registre[[#This Row],[ID_Antenne]],[1]Log_Réseaux!B:B,[1]Log_Réseaux!D:D),"NA")</f>
        <v>98</v>
      </c>
    </row>
    <row r="119" spans="1:8" x14ac:dyDescent="0.25">
      <c r="A119" s="6" t="s">
        <v>913</v>
      </c>
      <c r="B119" s="6" t="s">
        <v>9</v>
      </c>
      <c r="C119" s="6">
        <v>0.62055499999999997</v>
      </c>
      <c r="D119" s="6">
        <v>21.222035000000002</v>
      </c>
      <c r="E119" s="6" t="s">
        <v>796</v>
      </c>
      <c r="F119" s="6" t="s">
        <v>793</v>
      </c>
      <c r="G119" s="7">
        <f>IFERROR(_xlfn.XLOOKUP([1]!Registre[[#This Row],[ID_Antenne]],[1]Log_Réseaux!B:B,[1]Log_Réseaux!C:C),"NA")</f>
        <v>2</v>
      </c>
      <c r="H119" s="7">
        <f>IFERROR(_xlfn.XLOOKUP([1]!Registre[[#This Row],[ID_Antenne]],[1]Log_Réseaux!B:B,[1]Log_Réseaux!D:D),"NA")</f>
        <v>110</v>
      </c>
    </row>
    <row r="120" spans="1:8" x14ac:dyDescent="0.25">
      <c r="A120" s="6" t="s">
        <v>914</v>
      </c>
      <c r="B120" s="6" t="s">
        <v>32</v>
      </c>
      <c r="C120" s="6">
        <v>-5.42171</v>
      </c>
      <c r="D120" s="6">
        <v>24.202960999999998</v>
      </c>
      <c r="E120" s="6" t="s">
        <v>796</v>
      </c>
      <c r="F120" s="6" t="s">
        <v>802</v>
      </c>
      <c r="G120" s="7">
        <f>IFERROR(_xlfn.XLOOKUP([1]!Registre[[#This Row],[ID_Antenne]],[1]Log_Réseaux!B:B,[1]Log_Réseaux!C:C),"NA")</f>
        <v>2</v>
      </c>
      <c r="H120" s="7">
        <f>IFERROR(_xlfn.XLOOKUP([1]!Registre[[#This Row],[ID_Antenne]],[1]Log_Réseaux!B:B,[1]Log_Réseaux!D:D),"NA")</f>
        <v>94</v>
      </c>
    </row>
    <row r="121" spans="1:8" x14ac:dyDescent="0.25">
      <c r="A121" s="6" t="s">
        <v>915</v>
      </c>
      <c r="B121" s="6" t="s">
        <v>22</v>
      </c>
      <c r="C121" s="6">
        <v>-0.59350000000000003</v>
      </c>
      <c r="D121" s="6">
        <v>24.500503999999999</v>
      </c>
      <c r="E121" s="6" t="s">
        <v>796</v>
      </c>
      <c r="F121" s="6" t="s">
        <v>797</v>
      </c>
      <c r="G121" s="7" t="str">
        <f>IFERROR(_xlfn.XLOOKUP([1]!Registre[[#This Row],[ID_Antenne]],[1]Log_Réseaux!B:B,[1]Log_Réseaux!C:C),"NA")</f>
        <v>NA</v>
      </c>
      <c r="H121" s="7" t="str">
        <f>IFERROR(_xlfn.XLOOKUP([1]!Registre[[#This Row],[ID_Antenne]],[1]Log_Réseaux!B:B,[1]Log_Réseaux!D:D),"NA")</f>
        <v>NA</v>
      </c>
    </row>
    <row r="122" spans="1:8" x14ac:dyDescent="0.25">
      <c r="A122" s="6" t="s">
        <v>916</v>
      </c>
      <c r="B122" s="6" t="s">
        <v>24</v>
      </c>
      <c r="C122" s="6">
        <v>-5.7957599999999996</v>
      </c>
      <c r="D122" s="6">
        <v>14.078258</v>
      </c>
      <c r="E122" s="6" t="s">
        <v>796</v>
      </c>
      <c r="F122" s="6" t="s">
        <v>802</v>
      </c>
      <c r="G122" s="7">
        <f>IFERROR(_xlfn.XLOOKUP([1]!Registre[[#This Row],[ID_Antenne]],[1]Log_Réseaux!B:B,[1]Log_Réseaux!C:C),"NA")</f>
        <v>1</v>
      </c>
      <c r="H122" s="7">
        <f>IFERROR(_xlfn.XLOOKUP([1]!Registre[[#This Row],[ID_Antenne]],[1]Log_Réseaux!B:B,[1]Log_Réseaux!D:D),"NA")</f>
        <v>33</v>
      </c>
    </row>
    <row r="123" spans="1:8" x14ac:dyDescent="0.25">
      <c r="A123" s="6" t="s">
        <v>917</v>
      </c>
      <c r="B123" s="6" t="s">
        <v>34</v>
      </c>
      <c r="C123" s="6">
        <v>-9.9875139999999991</v>
      </c>
      <c r="D123" s="6">
        <v>12.013676999999999</v>
      </c>
      <c r="E123" s="6" t="s">
        <v>800</v>
      </c>
      <c r="F123" s="6" t="s">
        <v>791</v>
      </c>
      <c r="G123" s="7">
        <f>IFERROR(_xlfn.XLOOKUP([1]!Registre[[#This Row],[ID_Antenne]],[1]Log_Réseaux!B:B,[1]Log_Réseaux!C:C),"NA")</f>
        <v>1</v>
      </c>
      <c r="H123" s="7">
        <f>IFERROR(_xlfn.XLOOKUP([1]!Registre[[#This Row],[ID_Antenne]],[1]Log_Réseaux!B:B,[1]Log_Réseaux!D:D),"NA")</f>
        <v>63</v>
      </c>
    </row>
    <row r="124" spans="1:8" x14ac:dyDescent="0.25">
      <c r="A124" s="6" t="s">
        <v>918</v>
      </c>
      <c r="B124" s="6" t="s">
        <v>40</v>
      </c>
      <c r="C124" s="6">
        <v>-4.4351269999999996</v>
      </c>
      <c r="D124" s="6">
        <v>24.825467</v>
      </c>
      <c r="E124" s="6" t="s">
        <v>790</v>
      </c>
      <c r="F124" s="6" t="s">
        <v>797</v>
      </c>
      <c r="G124" s="7">
        <f>IFERROR(_xlfn.XLOOKUP([1]!Registre[[#This Row],[ID_Antenne]],[1]Log_Réseaux!B:B,[1]Log_Réseaux!C:C),"NA")</f>
        <v>2</v>
      </c>
      <c r="H124" s="7">
        <f>IFERROR(_xlfn.XLOOKUP([1]!Registre[[#This Row],[ID_Antenne]],[1]Log_Réseaux!B:B,[1]Log_Réseaux!D:D),"NA")</f>
        <v>169</v>
      </c>
    </row>
    <row r="125" spans="1:8" x14ac:dyDescent="0.25">
      <c r="A125" s="6" t="s">
        <v>919</v>
      </c>
      <c r="B125" s="6" t="s">
        <v>28</v>
      </c>
      <c r="C125" s="6">
        <v>-2.3743210000000001</v>
      </c>
      <c r="D125" s="6">
        <v>22.399491000000001</v>
      </c>
      <c r="E125" s="6" t="s">
        <v>796</v>
      </c>
      <c r="F125" s="6" t="s">
        <v>802</v>
      </c>
      <c r="G125" s="7">
        <f>IFERROR(_xlfn.XLOOKUP([1]!Registre[[#This Row],[ID_Antenne]],[1]Log_Réseaux!B:B,[1]Log_Réseaux!C:C),"NA")</f>
        <v>3</v>
      </c>
      <c r="H125" s="7">
        <f>IFERROR(_xlfn.XLOOKUP([1]!Registre[[#This Row],[ID_Antenne]],[1]Log_Réseaux!B:B,[1]Log_Réseaux!D:D),"NA")</f>
        <v>227</v>
      </c>
    </row>
    <row r="126" spans="1:8" x14ac:dyDescent="0.25">
      <c r="A126" s="6" t="s">
        <v>920</v>
      </c>
      <c r="B126" s="6" t="s">
        <v>105</v>
      </c>
      <c r="C126" s="6">
        <v>-6.4883290000000002</v>
      </c>
      <c r="D126" s="6">
        <v>25.103404000000001</v>
      </c>
      <c r="E126" s="6" t="s">
        <v>796</v>
      </c>
      <c r="F126" s="6" t="s">
        <v>791</v>
      </c>
      <c r="G126" s="7">
        <f>IFERROR(_xlfn.XLOOKUP([1]!Registre[[#This Row],[ID_Antenne]],[1]Log_Réseaux!B:B,[1]Log_Réseaux!C:C),"NA")</f>
        <v>1</v>
      </c>
      <c r="H126" s="7">
        <f>IFERROR(_xlfn.XLOOKUP([1]!Registre[[#This Row],[ID_Antenne]],[1]Log_Réseaux!B:B,[1]Log_Réseaux!D:D),"NA")</f>
        <v>43</v>
      </c>
    </row>
    <row r="127" spans="1:8" x14ac:dyDescent="0.25">
      <c r="A127" s="6" t="s">
        <v>921</v>
      </c>
      <c r="B127" s="6" t="s">
        <v>30</v>
      </c>
      <c r="C127" s="6">
        <v>0.82399199999999995</v>
      </c>
      <c r="D127" s="6">
        <v>28.232678</v>
      </c>
      <c r="E127" s="6" t="s">
        <v>800</v>
      </c>
      <c r="F127" s="6" t="s">
        <v>797</v>
      </c>
      <c r="G127" s="7" t="str">
        <f>IFERROR(_xlfn.XLOOKUP([1]!Registre[[#This Row],[ID_Antenne]],[1]Log_Réseaux!B:B,[1]Log_Réseaux!C:C),"NA")</f>
        <v>NA</v>
      </c>
      <c r="H127" s="7" t="str">
        <f>IFERROR(_xlfn.XLOOKUP([1]!Registre[[#This Row],[ID_Antenne]],[1]Log_Réseaux!B:B,[1]Log_Réseaux!D:D),"NA")</f>
        <v>NA</v>
      </c>
    </row>
    <row r="128" spans="1:8" x14ac:dyDescent="0.25">
      <c r="A128" s="6" t="s">
        <v>922</v>
      </c>
      <c r="B128" s="6" t="s">
        <v>38</v>
      </c>
      <c r="C128" s="6">
        <v>-4.1694589999999998</v>
      </c>
      <c r="D128" s="6">
        <v>23.376487000000001</v>
      </c>
      <c r="E128" s="6" t="s">
        <v>800</v>
      </c>
      <c r="F128" s="6" t="s">
        <v>793</v>
      </c>
      <c r="G128" s="7">
        <f>IFERROR(_xlfn.XLOOKUP([1]!Registre[[#This Row],[ID_Antenne]],[1]Log_Réseaux!B:B,[1]Log_Réseaux!C:C),"NA")</f>
        <v>2</v>
      </c>
      <c r="H128" s="7">
        <f>IFERROR(_xlfn.XLOOKUP([1]!Registre[[#This Row],[ID_Antenne]],[1]Log_Réseaux!B:B,[1]Log_Réseaux!D:D),"NA")</f>
        <v>177</v>
      </c>
    </row>
    <row r="129" spans="1:8" x14ac:dyDescent="0.25">
      <c r="A129" s="6" t="s">
        <v>923</v>
      </c>
      <c r="B129" s="6" t="s">
        <v>156</v>
      </c>
      <c r="C129" s="6">
        <v>-11.710407999999999</v>
      </c>
      <c r="D129" s="6">
        <v>23.741330999999999</v>
      </c>
      <c r="E129" s="6" t="s">
        <v>800</v>
      </c>
      <c r="F129" s="6" t="s">
        <v>797</v>
      </c>
      <c r="G129" s="7">
        <f>IFERROR(_xlfn.XLOOKUP([1]!Registre[[#This Row],[ID_Antenne]],[1]Log_Réseaux!B:B,[1]Log_Réseaux!C:C),"NA")</f>
        <v>1</v>
      </c>
      <c r="H129" s="7">
        <f>IFERROR(_xlfn.XLOOKUP([1]!Registre[[#This Row],[ID_Antenne]],[1]Log_Réseaux!B:B,[1]Log_Réseaux!D:D),"NA")</f>
        <v>38</v>
      </c>
    </row>
    <row r="130" spans="1:8" x14ac:dyDescent="0.25">
      <c r="A130" s="6" t="s">
        <v>924</v>
      </c>
      <c r="B130" s="6" t="s">
        <v>32</v>
      </c>
      <c r="C130" s="6">
        <v>-6.0850540000000004</v>
      </c>
      <c r="D130" s="6">
        <v>14.020293000000001</v>
      </c>
      <c r="E130" s="6" t="s">
        <v>796</v>
      </c>
      <c r="F130" s="6" t="s">
        <v>797</v>
      </c>
      <c r="G130" s="7" t="str">
        <f>IFERROR(_xlfn.XLOOKUP([1]!Registre[[#This Row],[ID_Antenne]],[1]Log_Réseaux!B:B,[1]Log_Réseaux!C:C),"NA")</f>
        <v>NA</v>
      </c>
      <c r="H130" s="7" t="str">
        <f>IFERROR(_xlfn.XLOOKUP([1]!Registre[[#This Row],[ID_Antenne]],[1]Log_Réseaux!B:B,[1]Log_Réseaux!D:D),"NA")</f>
        <v>NA</v>
      </c>
    </row>
    <row r="131" spans="1:8" x14ac:dyDescent="0.25">
      <c r="A131" s="6" t="s">
        <v>925</v>
      </c>
      <c r="B131" s="6" t="s">
        <v>59</v>
      </c>
      <c r="C131" s="6">
        <v>-4.5538169999999996</v>
      </c>
      <c r="D131" s="6">
        <v>25.952860999999999</v>
      </c>
      <c r="E131" s="6" t="s">
        <v>800</v>
      </c>
      <c r="F131" s="6" t="s">
        <v>802</v>
      </c>
      <c r="G131" s="7" t="str">
        <f>IFERROR(_xlfn.XLOOKUP([1]!Registre[[#This Row],[ID_Antenne]],[1]Log_Réseaux!B:B,[1]Log_Réseaux!C:C),"NA")</f>
        <v>NA</v>
      </c>
      <c r="H131" s="7" t="str">
        <f>IFERROR(_xlfn.XLOOKUP([1]!Registre[[#This Row],[ID_Antenne]],[1]Log_Réseaux!B:B,[1]Log_Réseaux!D:D),"NA")</f>
        <v>NA</v>
      </c>
    </row>
    <row r="132" spans="1:8" x14ac:dyDescent="0.25">
      <c r="A132" s="6" t="s">
        <v>926</v>
      </c>
      <c r="B132" s="6" t="s">
        <v>97</v>
      </c>
      <c r="C132" s="6">
        <v>0.48965500000000001</v>
      </c>
      <c r="D132" s="6">
        <v>26.176860000000001</v>
      </c>
      <c r="E132" s="6" t="s">
        <v>790</v>
      </c>
      <c r="F132" s="6" t="s">
        <v>797</v>
      </c>
      <c r="G132" s="7">
        <f>IFERROR(_xlfn.XLOOKUP([1]!Registre[[#This Row],[ID_Antenne]],[1]Log_Réseaux!B:B,[1]Log_Réseaux!C:C),"NA")</f>
        <v>1</v>
      </c>
      <c r="H132" s="7">
        <f>IFERROR(_xlfn.XLOOKUP([1]!Registre[[#This Row],[ID_Antenne]],[1]Log_Réseaux!B:B,[1]Log_Réseaux!D:D),"NA")</f>
        <v>33</v>
      </c>
    </row>
    <row r="133" spans="1:8" x14ac:dyDescent="0.25">
      <c r="A133" s="6" t="s">
        <v>927</v>
      </c>
      <c r="B133" s="6" t="s">
        <v>40</v>
      </c>
      <c r="C133" s="6">
        <v>-6.0864269999999996</v>
      </c>
      <c r="D133" s="6">
        <v>19.922181999999999</v>
      </c>
      <c r="E133" s="6" t="s">
        <v>796</v>
      </c>
      <c r="F133" s="6" t="s">
        <v>797</v>
      </c>
      <c r="G133" s="7" t="str">
        <f>IFERROR(_xlfn.XLOOKUP([1]!Registre[[#This Row],[ID_Antenne]],[1]Log_Réseaux!B:B,[1]Log_Réseaux!C:C),"NA")</f>
        <v>NA</v>
      </c>
      <c r="H133" s="7" t="str">
        <f>IFERROR(_xlfn.XLOOKUP([1]!Registre[[#This Row],[ID_Antenne]],[1]Log_Réseaux!B:B,[1]Log_Réseaux!D:D),"NA")</f>
        <v>NA</v>
      </c>
    </row>
    <row r="134" spans="1:8" x14ac:dyDescent="0.25">
      <c r="A134" s="6" t="s">
        <v>928</v>
      </c>
      <c r="B134" s="6" t="s">
        <v>156</v>
      </c>
      <c r="C134" s="6">
        <v>-2.6166320000000001</v>
      </c>
      <c r="D134" s="6">
        <v>23.743941</v>
      </c>
      <c r="E134" s="6" t="s">
        <v>796</v>
      </c>
      <c r="F134" s="6" t="s">
        <v>793</v>
      </c>
      <c r="G134" s="7" t="str">
        <f>IFERROR(_xlfn.XLOOKUP([1]!Registre[[#This Row],[ID_Antenne]],[1]Log_Réseaux!B:B,[1]Log_Réseaux!C:C),"NA")</f>
        <v>NA</v>
      </c>
      <c r="H134" s="7" t="str">
        <f>IFERROR(_xlfn.XLOOKUP([1]!Registre[[#This Row],[ID_Antenne]],[1]Log_Réseaux!B:B,[1]Log_Réseaux!D:D),"NA")</f>
        <v>NA</v>
      </c>
    </row>
    <row r="135" spans="1:8" x14ac:dyDescent="0.25">
      <c r="A135" s="6" t="s">
        <v>929</v>
      </c>
      <c r="B135" s="6" t="s">
        <v>34</v>
      </c>
      <c r="C135" s="6">
        <v>-9.5619429999999994</v>
      </c>
      <c r="D135" s="6">
        <v>21.445726000000001</v>
      </c>
      <c r="E135" s="6" t="s">
        <v>790</v>
      </c>
      <c r="F135" s="6" t="s">
        <v>793</v>
      </c>
      <c r="G135" s="7">
        <f>IFERROR(_xlfn.XLOOKUP([1]!Registre[[#This Row],[ID_Antenne]],[1]Log_Réseaux!B:B,[1]Log_Réseaux!C:C),"NA")</f>
        <v>2</v>
      </c>
      <c r="H135" s="7">
        <f>IFERROR(_xlfn.XLOOKUP([1]!Registre[[#This Row],[ID_Antenne]],[1]Log_Réseaux!B:B,[1]Log_Réseaux!D:D),"NA")</f>
        <v>126</v>
      </c>
    </row>
    <row r="136" spans="1:8" x14ac:dyDescent="0.25">
      <c r="A136" s="6" t="s">
        <v>930</v>
      </c>
      <c r="B136" s="6" t="s">
        <v>46</v>
      </c>
      <c r="C136" s="6">
        <v>-1.648264</v>
      </c>
      <c r="D136" s="6">
        <v>28.866143999999998</v>
      </c>
      <c r="E136" s="6" t="s">
        <v>796</v>
      </c>
      <c r="F136" s="6" t="s">
        <v>802</v>
      </c>
      <c r="G136" s="7">
        <f>IFERROR(_xlfn.XLOOKUP([1]!Registre[[#This Row],[ID_Antenne]],[1]Log_Réseaux!B:B,[1]Log_Réseaux!C:C),"NA")</f>
        <v>2</v>
      </c>
      <c r="H136" s="7">
        <f>IFERROR(_xlfn.XLOOKUP([1]!Registre[[#This Row],[ID_Antenne]],[1]Log_Réseaux!B:B,[1]Log_Réseaux!D:D),"NA")</f>
        <v>87</v>
      </c>
    </row>
    <row r="137" spans="1:8" x14ac:dyDescent="0.25">
      <c r="A137" s="6" t="s">
        <v>931</v>
      </c>
      <c r="B137" s="6" t="s">
        <v>24</v>
      </c>
      <c r="C137" s="6">
        <v>-5.1030600000000002</v>
      </c>
      <c r="D137" s="6">
        <v>22.849231</v>
      </c>
      <c r="E137" s="6" t="s">
        <v>796</v>
      </c>
      <c r="F137" s="6" t="s">
        <v>791</v>
      </c>
      <c r="G137" s="7">
        <f>IFERROR(_xlfn.XLOOKUP([1]!Registre[[#This Row],[ID_Antenne]],[1]Log_Réseaux!B:B,[1]Log_Réseaux!C:C),"NA")</f>
        <v>2</v>
      </c>
      <c r="H137" s="7">
        <f>IFERROR(_xlfn.XLOOKUP([1]!Registre[[#This Row],[ID_Antenne]],[1]Log_Réseaux!B:B,[1]Log_Réseaux!D:D),"NA")</f>
        <v>127</v>
      </c>
    </row>
    <row r="138" spans="1:8" x14ac:dyDescent="0.25">
      <c r="A138" s="6" t="s">
        <v>932</v>
      </c>
      <c r="B138" s="6" t="s">
        <v>69</v>
      </c>
      <c r="C138" s="6">
        <v>-2.1430220000000002</v>
      </c>
      <c r="D138" s="6">
        <v>24.541492999999999</v>
      </c>
      <c r="E138" s="6" t="s">
        <v>790</v>
      </c>
      <c r="F138" s="6" t="s">
        <v>791</v>
      </c>
      <c r="G138" s="7" t="str">
        <f>IFERROR(_xlfn.XLOOKUP([1]!Registre[[#This Row],[ID_Antenne]],[1]Log_Réseaux!B:B,[1]Log_Réseaux!C:C),"NA")</f>
        <v>NA</v>
      </c>
      <c r="H138" s="7" t="str">
        <f>IFERROR(_xlfn.XLOOKUP([1]!Registre[[#This Row],[ID_Antenne]],[1]Log_Réseaux!B:B,[1]Log_Réseaux!D:D),"NA")</f>
        <v>NA</v>
      </c>
    </row>
    <row r="139" spans="1:8" x14ac:dyDescent="0.25">
      <c r="A139" s="6" t="s">
        <v>933</v>
      </c>
      <c r="B139" s="6" t="s">
        <v>105</v>
      </c>
      <c r="C139" s="6">
        <v>-0.157111</v>
      </c>
      <c r="D139" s="6">
        <v>25.415125</v>
      </c>
      <c r="E139" s="6" t="s">
        <v>790</v>
      </c>
      <c r="F139" s="6" t="s">
        <v>802</v>
      </c>
      <c r="G139" s="7">
        <f>IFERROR(_xlfn.XLOOKUP([1]!Registre[[#This Row],[ID_Antenne]],[1]Log_Réseaux!B:B,[1]Log_Réseaux!C:C),"NA")</f>
        <v>1</v>
      </c>
      <c r="H139" s="7">
        <f>IFERROR(_xlfn.XLOOKUP([1]!Registre[[#This Row],[ID_Antenne]],[1]Log_Réseaux!B:B,[1]Log_Réseaux!D:D),"NA")</f>
        <v>11</v>
      </c>
    </row>
    <row r="140" spans="1:8" x14ac:dyDescent="0.25">
      <c r="A140" s="6" t="s">
        <v>934</v>
      </c>
      <c r="B140" s="6" t="s">
        <v>72</v>
      </c>
      <c r="C140" s="6">
        <v>-6.8149179999999996</v>
      </c>
      <c r="D140" s="6">
        <v>23.258102000000001</v>
      </c>
      <c r="E140" s="6" t="s">
        <v>796</v>
      </c>
      <c r="F140" s="6" t="s">
        <v>797</v>
      </c>
      <c r="G140" s="7">
        <f>IFERROR(_xlfn.XLOOKUP([1]!Registre[[#This Row],[ID_Antenne]],[1]Log_Réseaux!B:B,[1]Log_Réseaux!C:C),"NA")</f>
        <v>1</v>
      </c>
      <c r="H140" s="7">
        <f>IFERROR(_xlfn.XLOOKUP([1]!Registre[[#This Row],[ID_Antenne]],[1]Log_Réseaux!B:B,[1]Log_Réseaux!D:D),"NA")</f>
        <v>106</v>
      </c>
    </row>
    <row r="141" spans="1:8" x14ac:dyDescent="0.25">
      <c r="A141" s="6" t="s">
        <v>935</v>
      </c>
      <c r="B141" s="6" t="s">
        <v>48</v>
      </c>
      <c r="C141" s="6">
        <v>-10.620597</v>
      </c>
      <c r="D141" s="6">
        <v>12.432214</v>
      </c>
      <c r="E141" s="6" t="s">
        <v>790</v>
      </c>
      <c r="F141" s="6" t="s">
        <v>797</v>
      </c>
      <c r="G141" s="7" t="str">
        <f>IFERROR(_xlfn.XLOOKUP([1]!Registre[[#This Row],[ID_Antenne]],[1]Log_Réseaux!B:B,[1]Log_Réseaux!C:C),"NA")</f>
        <v>NA</v>
      </c>
      <c r="H141" s="7" t="str">
        <f>IFERROR(_xlfn.XLOOKUP([1]!Registre[[#This Row],[ID_Antenne]],[1]Log_Réseaux!B:B,[1]Log_Réseaux!D:D),"NA")</f>
        <v>NA</v>
      </c>
    </row>
    <row r="142" spans="1:8" x14ac:dyDescent="0.25">
      <c r="A142" s="6" t="s">
        <v>936</v>
      </c>
      <c r="B142" s="6" t="s">
        <v>32</v>
      </c>
      <c r="C142" s="6">
        <v>-10.25074</v>
      </c>
      <c r="D142" s="6">
        <v>26.099086</v>
      </c>
      <c r="E142" s="6" t="s">
        <v>790</v>
      </c>
      <c r="F142" s="6" t="s">
        <v>797</v>
      </c>
      <c r="G142" s="7">
        <f>IFERROR(_xlfn.XLOOKUP([1]!Registre[[#This Row],[ID_Antenne]],[1]Log_Réseaux!B:B,[1]Log_Réseaux!C:C),"NA")</f>
        <v>5</v>
      </c>
      <c r="H142" s="7">
        <f>IFERROR(_xlfn.XLOOKUP([1]!Registre[[#This Row],[ID_Antenne]],[1]Log_Réseaux!B:B,[1]Log_Réseaux!D:D),"NA")</f>
        <v>237</v>
      </c>
    </row>
    <row r="143" spans="1:8" x14ac:dyDescent="0.25">
      <c r="A143" s="6" t="s">
        <v>937</v>
      </c>
      <c r="B143" s="6" t="s">
        <v>97</v>
      </c>
      <c r="C143" s="6">
        <v>-1.6097570000000001</v>
      </c>
      <c r="D143" s="6">
        <v>30.661662</v>
      </c>
      <c r="E143" s="6" t="s">
        <v>790</v>
      </c>
      <c r="F143" s="6" t="s">
        <v>802</v>
      </c>
      <c r="G143" s="7">
        <f>IFERROR(_xlfn.XLOOKUP([1]!Registre[[#This Row],[ID_Antenne]],[1]Log_Réseaux!B:B,[1]Log_Réseaux!C:C),"NA")</f>
        <v>2</v>
      </c>
      <c r="H143" s="7">
        <f>IFERROR(_xlfn.XLOOKUP([1]!Registre[[#This Row],[ID_Antenne]],[1]Log_Réseaux!B:B,[1]Log_Réseaux!D:D),"NA")</f>
        <v>141</v>
      </c>
    </row>
    <row r="144" spans="1:8" x14ac:dyDescent="0.25">
      <c r="A144" s="6" t="s">
        <v>938</v>
      </c>
      <c r="B144" s="6" t="s">
        <v>44</v>
      </c>
      <c r="C144" s="6">
        <v>-5.5445120000000001</v>
      </c>
      <c r="D144" s="6">
        <v>27.547335</v>
      </c>
      <c r="E144" s="6" t="s">
        <v>790</v>
      </c>
      <c r="F144" s="6" t="s">
        <v>802</v>
      </c>
      <c r="G144" s="7">
        <f>IFERROR(_xlfn.XLOOKUP([1]!Registre[[#This Row],[ID_Antenne]],[1]Log_Réseaux!B:B,[1]Log_Réseaux!C:C),"NA")</f>
        <v>4</v>
      </c>
      <c r="H144" s="7">
        <f>IFERROR(_xlfn.XLOOKUP([1]!Registre[[#This Row],[ID_Antenne]],[1]Log_Réseaux!B:B,[1]Log_Réseaux!D:D),"NA")</f>
        <v>222</v>
      </c>
    </row>
    <row r="145" spans="1:8" x14ac:dyDescent="0.25">
      <c r="A145" s="6" t="s">
        <v>939</v>
      </c>
      <c r="B145" s="6" t="s">
        <v>24</v>
      </c>
      <c r="C145" s="6">
        <v>-11.622688999999999</v>
      </c>
      <c r="D145" s="6">
        <v>18.483874</v>
      </c>
      <c r="E145" s="6" t="s">
        <v>796</v>
      </c>
      <c r="F145" s="6" t="s">
        <v>791</v>
      </c>
      <c r="G145" s="7">
        <f>IFERROR(_xlfn.XLOOKUP([1]!Registre[[#This Row],[ID_Antenne]],[1]Log_Réseaux!B:B,[1]Log_Réseaux!C:C),"NA")</f>
        <v>2</v>
      </c>
      <c r="H145" s="7">
        <f>IFERROR(_xlfn.XLOOKUP([1]!Registre[[#This Row],[ID_Antenne]],[1]Log_Réseaux!B:B,[1]Log_Réseaux!D:D),"NA")</f>
        <v>104</v>
      </c>
    </row>
    <row r="146" spans="1:8" x14ac:dyDescent="0.25">
      <c r="A146" s="6" t="s">
        <v>940</v>
      </c>
      <c r="B146" s="6" t="s">
        <v>65</v>
      </c>
      <c r="C146" s="6">
        <v>1.400674</v>
      </c>
      <c r="D146" s="6">
        <v>13.503126999999999</v>
      </c>
      <c r="E146" s="6" t="s">
        <v>796</v>
      </c>
      <c r="F146" s="6" t="s">
        <v>791</v>
      </c>
      <c r="G146" s="7">
        <f>IFERROR(_xlfn.XLOOKUP([1]!Registre[[#This Row],[ID_Antenne]],[1]Log_Réseaux!B:B,[1]Log_Réseaux!C:C),"NA")</f>
        <v>1</v>
      </c>
      <c r="H146" s="7">
        <f>IFERROR(_xlfn.XLOOKUP([1]!Registre[[#This Row],[ID_Antenne]],[1]Log_Réseaux!B:B,[1]Log_Réseaux!D:D),"NA")</f>
        <v>63</v>
      </c>
    </row>
    <row r="147" spans="1:8" x14ac:dyDescent="0.25">
      <c r="A147" s="6" t="s">
        <v>941</v>
      </c>
      <c r="B147" s="6" t="s">
        <v>65</v>
      </c>
      <c r="C147" s="6">
        <v>2.6387339999999999</v>
      </c>
      <c r="D147" s="6">
        <v>13.769399</v>
      </c>
      <c r="E147" s="6" t="s">
        <v>790</v>
      </c>
      <c r="F147" s="6" t="s">
        <v>797</v>
      </c>
      <c r="G147" s="7" t="str">
        <f>IFERROR(_xlfn.XLOOKUP([1]!Registre[[#This Row],[ID_Antenne]],[1]Log_Réseaux!B:B,[1]Log_Réseaux!C:C),"NA")</f>
        <v>NA</v>
      </c>
      <c r="H147" s="7" t="str">
        <f>IFERROR(_xlfn.XLOOKUP([1]!Registre[[#This Row],[ID_Antenne]],[1]Log_Réseaux!B:B,[1]Log_Réseaux!D:D),"NA")</f>
        <v>NA</v>
      </c>
    </row>
    <row r="148" spans="1:8" x14ac:dyDescent="0.25">
      <c r="A148" s="6" t="s">
        <v>942</v>
      </c>
      <c r="B148" s="6" t="s">
        <v>22</v>
      </c>
      <c r="C148" s="6">
        <v>-6.4197189999999997</v>
      </c>
      <c r="D148" s="6">
        <v>22.287264</v>
      </c>
      <c r="E148" s="6" t="s">
        <v>800</v>
      </c>
      <c r="F148" s="6" t="s">
        <v>802</v>
      </c>
      <c r="G148" s="7">
        <f>IFERROR(_xlfn.XLOOKUP([1]!Registre[[#This Row],[ID_Antenne]],[1]Log_Réseaux!B:B,[1]Log_Réseaux!C:C),"NA")</f>
        <v>3</v>
      </c>
      <c r="H148" s="7">
        <f>IFERROR(_xlfn.XLOOKUP([1]!Registre[[#This Row],[ID_Antenne]],[1]Log_Réseaux!B:B,[1]Log_Réseaux!D:D),"NA")</f>
        <v>159</v>
      </c>
    </row>
    <row r="149" spans="1:8" x14ac:dyDescent="0.25">
      <c r="A149" s="6" t="s">
        <v>943</v>
      </c>
      <c r="B149" s="6" t="s">
        <v>34</v>
      </c>
      <c r="C149" s="6">
        <v>-5.7035130000000001</v>
      </c>
      <c r="D149" s="6">
        <v>14.331479</v>
      </c>
      <c r="E149" s="6" t="s">
        <v>796</v>
      </c>
      <c r="F149" s="6" t="s">
        <v>793</v>
      </c>
      <c r="G149" s="7">
        <f>IFERROR(_xlfn.XLOOKUP([1]!Registre[[#This Row],[ID_Antenne]],[1]Log_Réseaux!B:B,[1]Log_Réseaux!C:C),"NA")</f>
        <v>2</v>
      </c>
      <c r="H149" s="7">
        <f>IFERROR(_xlfn.XLOOKUP([1]!Registre[[#This Row],[ID_Antenne]],[1]Log_Réseaux!B:B,[1]Log_Réseaux!D:D),"NA")</f>
        <v>111</v>
      </c>
    </row>
    <row r="150" spans="1:8" x14ac:dyDescent="0.25">
      <c r="A150" s="6" t="s">
        <v>944</v>
      </c>
      <c r="B150" s="6" t="s">
        <v>69</v>
      </c>
      <c r="C150" s="6">
        <v>-4.3639070000000002</v>
      </c>
      <c r="D150" s="6">
        <v>16.283307000000001</v>
      </c>
      <c r="E150" s="6" t="s">
        <v>796</v>
      </c>
      <c r="F150" s="6" t="s">
        <v>797</v>
      </c>
      <c r="G150" s="7">
        <f>IFERROR(_xlfn.XLOOKUP([1]!Registre[[#This Row],[ID_Antenne]],[1]Log_Réseaux!B:B,[1]Log_Réseaux!C:C),"NA")</f>
        <v>1</v>
      </c>
      <c r="H150" s="7">
        <f>IFERROR(_xlfn.XLOOKUP([1]!Registre[[#This Row],[ID_Antenne]],[1]Log_Réseaux!B:B,[1]Log_Réseaux!D:D),"NA")</f>
        <v>97</v>
      </c>
    </row>
    <row r="151" spans="1:8" x14ac:dyDescent="0.25">
      <c r="A151" s="6" t="s">
        <v>945</v>
      </c>
      <c r="B151" s="6" t="s">
        <v>42</v>
      </c>
      <c r="C151" s="6">
        <v>-4.351254</v>
      </c>
      <c r="D151" s="6">
        <v>30.097408999999999</v>
      </c>
      <c r="E151" s="6" t="s">
        <v>796</v>
      </c>
      <c r="F151" s="6" t="s">
        <v>793</v>
      </c>
      <c r="G151" s="7">
        <f>IFERROR(_xlfn.XLOOKUP([1]!Registre[[#This Row],[ID_Antenne]],[1]Log_Réseaux!B:B,[1]Log_Réseaux!C:C),"NA")</f>
        <v>2</v>
      </c>
      <c r="H151" s="7">
        <f>IFERROR(_xlfn.XLOOKUP([1]!Registre[[#This Row],[ID_Antenne]],[1]Log_Réseaux!B:B,[1]Log_Réseaux!D:D),"NA")</f>
        <v>157</v>
      </c>
    </row>
    <row r="152" spans="1:8" x14ac:dyDescent="0.25">
      <c r="A152" s="6" t="s">
        <v>946</v>
      </c>
      <c r="B152" s="6" t="s">
        <v>69</v>
      </c>
      <c r="C152" s="6">
        <v>-5.4073029999999997</v>
      </c>
      <c r="D152" s="6">
        <v>29.762294000000001</v>
      </c>
      <c r="E152" s="6" t="s">
        <v>800</v>
      </c>
      <c r="F152" s="6" t="s">
        <v>802</v>
      </c>
      <c r="G152" s="7">
        <f>IFERROR(_xlfn.XLOOKUP([1]!Registre[[#This Row],[ID_Antenne]],[1]Log_Réseaux!B:B,[1]Log_Réseaux!C:C),"NA")</f>
        <v>2</v>
      </c>
      <c r="H152" s="7">
        <f>IFERROR(_xlfn.XLOOKUP([1]!Registre[[#This Row],[ID_Antenne]],[1]Log_Réseaux!B:B,[1]Log_Réseaux!D:D),"NA")</f>
        <v>97</v>
      </c>
    </row>
    <row r="153" spans="1:8" x14ac:dyDescent="0.25">
      <c r="A153" s="6" t="s">
        <v>947</v>
      </c>
      <c r="B153" s="6" t="s">
        <v>28</v>
      </c>
      <c r="C153" s="6">
        <v>-4.6818410000000004</v>
      </c>
      <c r="D153" s="6">
        <v>17.541618</v>
      </c>
      <c r="E153" s="6" t="s">
        <v>790</v>
      </c>
      <c r="F153" s="6" t="s">
        <v>802</v>
      </c>
      <c r="G153" s="7">
        <f>IFERROR(_xlfn.XLOOKUP([1]!Registre[[#This Row],[ID_Antenne]],[1]Log_Réseaux!B:B,[1]Log_Réseaux!C:C),"NA")</f>
        <v>2</v>
      </c>
      <c r="H153" s="7">
        <f>IFERROR(_xlfn.XLOOKUP([1]!Registre[[#This Row],[ID_Antenne]],[1]Log_Réseaux!B:B,[1]Log_Réseaux!D:D),"NA")</f>
        <v>107</v>
      </c>
    </row>
    <row r="154" spans="1:8" x14ac:dyDescent="0.25">
      <c r="A154" s="6" t="s">
        <v>948</v>
      </c>
      <c r="B154" s="6" t="s">
        <v>59</v>
      </c>
      <c r="C154" s="6">
        <v>4.9250049999999996</v>
      </c>
      <c r="D154" s="6">
        <v>19.887931999999999</v>
      </c>
      <c r="E154" s="6" t="s">
        <v>790</v>
      </c>
      <c r="F154" s="6" t="s">
        <v>797</v>
      </c>
      <c r="G154" s="7">
        <f>IFERROR(_xlfn.XLOOKUP([1]!Registre[[#This Row],[ID_Antenne]],[1]Log_Réseaux!B:B,[1]Log_Réseaux!C:C),"NA")</f>
        <v>1</v>
      </c>
      <c r="H154" s="7">
        <f>IFERROR(_xlfn.XLOOKUP([1]!Registre[[#This Row],[ID_Antenne]],[1]Log_Réseaux!B:B,[1]Log_Réseaux!D:D),"NA")</f>
        <v>103</v>
      </c>
    </row>
    <row r="155" spans="1:8" x14ac:dyDescent="0.25">
      <c r="A155" s="6" t="s">
        <v>949</v>
      </c>
      <c r="B155" s="6" t="s">
        <v>22</v>
      </c>
      <c r="C155" s="6">
        <v>2.0859640000000002</v>
      </c>
      <c r="D155" s="6">
        <v>22.576664000000001</v>
      </c>
      <c r="E155" s="6" t="s">
        <v>790</v>
      </c>
      <c r="F155" s="6" t="s">
        <v>791</v>
      </c>
      <c r="G155" s="7" t="str">
        <f>IFERROR(_xlfn.XLOOKUP([1]!Registre[[#This Row],[ID_Antenne]],[1]Log_Réseaux!B:B,[1]Log_Réseaux!C:C),"NA")</f>
        <v>NA</v>
      </c>
      <c r="H155" s="7" t="str">
        <f>IFERROR(_xlfn.XLOOKUP([1]!Registre[[#This Row],[ID_Antenne]],[1]Log_Réseaux!B:B,[1]Log_Réseaux!D:D),"NA")</f>
        <v>NA</v>
      </c>
    </row>
    <row r="156" spans="1:8" x14ac:dyDescent="0.25">
      <c r="A156" s="6" t="s">
        <v>950</v>
      </c>
      <c r="B156" s="6" t="s">
        <v>24</v>
      </c>
      <c r="C156" s="6">
        <v>-6.1126060000000004</v>
      </c>
      <c r="D156" s="6">
        <v>27.901748999999999</v>
      </c>
      <c r="E156" s="6" t="s">
        <v>790</v>
      </c>
      <c r="F156" s="6" t="s">
        <v>791</v>
      </c>
      <c r="G156" s="7" t="str">
        <f>IFERROR(_xlfn.XLOOKUP([1]!Registre[[#This Row],[ID_Antenne]],[1]Log_Réseaux!B:B,[1]Log_Réseaux!C:C),"NA")</f>
        <v>NA</v>
      </c>
      <c r="H156" s="7" t="str">
        <f>IFERROR(_xlfn.XLOOKUP([1]!Registre[[#This Row],[ID_Antenne]],[1]Log_Réseaux!B:B,[1]Log_Réseaux!D:D),"NA")</f>
        <v>NA</v>
      </c>
    </row>
    <row r="157" spans="1:8" x14ac:dyDescent="0.25">
      <c r="A157" s="6" t="s">
        <v>951</v>
      </c>
      <c r="B157" s="6" t="s">
        <v>15</v>
      </c>
      <c r="C157" s="6">
        <v>2.3260149999999999</v>
      </c>
      <c r="D157" s="6">
        <v>24.97465</v>
      </c>
      <c r="E157" s="6" t="s">
        <v>800</v>
      </c>
      <c r="F157" s="6" t="s">
        <v>793</v>
      </c>
      <c r="G157" s="7" t="str">
        <f>IFERROR(_xlfn.XLOOKUP([1]!Registre[[#This Row],[ID_Antenne]],[1]Log_Réseaux!B:B,[1]Log_Réseaux!C:C),"NA")</f>
        <v>NA</v>
      </c>
      <c r="H157" s="7" t="str">
        <f>IFERROR(_xlfn.XLOOKUP([1]!Registre[[#This Row],[ID_Antenne]],[1]Log_Réseaux!B:B,[1]Log_Réseaux!D:D),"NA")</f>
        <v>NA</v>
      </c>
    </row>
    <row r="158" spans="1:8" x14ac:dyDescent="0.25">
      <c r="A158" s="6" t="s">
        <v>952</v>
      </c>
      <c r="B158" s="6" t="s">
        <v>42</v>
      </c>
      <c r="C158" s="6">
        <v>-4.9789079999999997</v>
      </c>
      <c r="D158" s="6">
        <v>28.506295000000001</v>
      </c>
      <c r="E158" s="6" t="s">
        <v>790</v>
      </c>
      <c r="F158" s="6" t="s">
        <v>797</v>
      </c>
      <c r="G158" s="7">
        <f>IFERROR(_xlfn.XLOOKUP([1]!Registre[[#This Row],[ID_Antenne]],[1]Log_Réseaux!B:B,[1]Log_Réseaux!C:C),"NA")</f>
        <v>2</v>
      </c>
      <c r="H158" s="7">
        <f>IFERROR(_xlfn.XLOOKUP([1]!Registre[[#This Row],[ID_Antenne]],[1]Log_Réseaux!B:B,[1]Log_Réseaux!D:D),"NA")</f>
        <v>108</v>
      </c>
    </row>
    <row r="159" spans="1:8" x14ac:dyDescent="0.25">
      <c r="A159" s="6" t="s">
        <v>953</v>
      </c>
      <c r="B159" s="6" t="s">
        <v>22</v>
      </c>
      <c r="C159" s="6">
        <v>-3.6945459999999999</v>
      </c>
      <c r="D159" s="6">
        <v>16.809108999999999</v>
      </c>
      <c r="E159" s="6" t="s">
        <v>796</v>
      </c>
      <c r="F159" s="6" t="s">
        <v>791</v>
      </c>
      <c r="G159" s="7">
        <f>IFERROR(_xlfn.XLOOKUP([1]!Registre[[#This Row],[ID_Antenne]],[1]Log_Réseaux!B:B,[1]Log_Réseaux!C:C),"NA")</f>
        <v>4</v>
      </c>
      <c r="H159" s="7">
        <f>IFERROR(_xlfn.XLOOKUP([1]!Registre[[#This Row],[ID_Antenne]],[1]Log_Réseaux!B:B,[1]Log_Réseaux!D:D),"NA")</f>
        <v>258</v>
      </c>
    </row>
    <row r="160" spans="1:8" x14ac:dyDescent="0.25">
      <c r="A160" s="6" t="s">
        <v>954</v>
      </c>
      <c r="B160" s="6" t="s">
        <v>105</v>
      </c>
      <c r="C160" s="6">
        <v>3.6466850000000002</v>
      </c>
      <c r="D160" s="6">
        <v>15.408844</v>
      </c>
      <c r="E160" s="6" t="s">
        <v>800</v>
      </c>
      <c r="F160" s="6" t="s">
        <v>791</v>
      </c>
      <c r="G160" s="7" t="str">
        <f>IFERROR(_xlfn.XLOOKUP([1]!Registre[[#This Row],[ID_Antenne]],[1]Log_Réseaux!B:B,[1]Log_Réseaux!C:C),"NA")</f>
        <v>NA</v>
      </c>
      <c r="H160" s="7" t="str">
        <f>IFERROR(_xlfn.XLOOKUP([1]!Registre[[#This Row],[ID_Antenne]],[1]Log_Réseaux!B:B,[1]Log_Réseaux!D:D),"NA")</f>
        <v>NA</v>
      </c>
    </row>
    <row r="161" spans="1:8" x14ac:dyDescent="0.25">
      <c r="A161" s="6" t="s">
        <v>955</v>
      </c>
      <c r="B161" s="6" t="s">
        <v>38</v>
      </c>
      <c r="C161" s="6">
        <v>0.31740800000000002</v>
      </c>
      <c r="D161" s="6">
        <v>27.197666999999999</v>
      </c>
      <c r="E161" s="6" t="s">
        <v>796</v>
      </c>
      <c r="F161" s="6" t="s">
        <v>793</v>
      </c>
      <c r="G161" s="7">
        <f>IFERROR(_xlfn.XLOOKUP([1]!Registre[[#This Row],[ID_Antenne]],[1]Log_Réseaux!B:B,[1]Log_Réseaux!C:C),"NA")</f>
        <v>1</v>
      </c>
      <c r="H161" s="7">
        <f>IFERROR(_xlfn.XLOOKUP([1]!Registre[[#This Row],[ID_Antenne]],[1]Log_Réseaux!B:B,[1]Log_Réseaux!D:D),"NA")</f>
        <v>63</v>
      </c>
    </row>
    <row r="162" spans="1:8" x14ac:dyDescent="0.25">
      <c r="A162" s="6" t="s">
        <v>956</v>
      </c>
      <c r="B162" s="6" t="s">
        <v>48</v>
      </c>
      <c r="C162" s="6">
        <v>-2.7775059999999998</v>
      </c>
      <c r="D162" s="6">
        <v>24.139983999999998</v>
      </c>
      <c r="E162" s="6" t="s">
        <v>800</v>
      </c>
      <c r="F162" s="6" t="s">
        <v>802</v>
      </c>
      <c r="G162" s="7" t="str">
        <f>IFERROR(_xlfn.XLOOKUP([1]!Registre[[#This Row],[ID_Antenne]],[1]Log_Réseaux!B:B,[1]Log_Réseaux!C:C),"NA")</f>
        <v>NA</v>
      </c>
      <c r="H162" s="7" t="str">
        <f>IFERROR(_xlfn.XLOOKUP([1]!Registre[[#This Row],[ID_Antenne]],[1]Log_Réseaux!B:B,[1]Log_Réseaux!D:D),"NA")</f>
        <v>NA</v>
      </c>
    </row>
    <row r="163" spans="1:8" x14ac:dyDescent="0.25">
      <c r="A163" s="6" t="s">
        <v>957</v>
      </c>
      <c r="B163" s="6" t="s">
        <v>28</v>
      </c>
      <c r="C163" s="6">
        <v>3.0053459999999999</v>
      </c>
      <c r="D163" s="6">
        <v>13.765407</v>
      </c>
      <c r="E163" s="6" t="s">
        <v>796</v>
      </c>
      <c r="F163" s="6" t="s">
        <v>802</v>
      </c>
      <c r="G163" s="7" t="str">
        <f>IFERROR(_xlfn.XLOOKUP([1]!Registre[[#This Row],[ID_Antenne]],[1]Log_Réseaux!B:B,[1]Log_Réseaux!C:C),"NA")</f>
        <v>NA</v>
      </c>
      <c r="H163" s="7" t="str">
        <f>IFERROR(_xlfn.XLOOKUP([1]!Registre[[#This Row],[ID_Antenne]],[1]Log_Réseaux!B:B,[1]Log_Réseaux!D:D),"NA")</f>
        <v>NA</v>
      </c>
    </row>
    <row r="164" spans="1:8" x14ac:dyDescent="0.25">
      <c r="A164" s="6" t="s">
        <v>958</v>
      </c>
      <c r="B164" s="6" t="s">
        <v>46</v>
      </c>
      <c r="C164" s="6">
        <v>3.4689049999999999</v>
      </c>
      <c r="D164" s="6">
        <v>18.19622</v>
      </c>
      <c r="E164" s="6" t="s">
        <v>796</v>
      </c>
      <c r="F164" s="6" t="s">
        <v>797</v>
      </c>
      <c r="G164" s="7" t="str">
        <f>IFERROR(_xlfn.XLOOKUP([1]!Registre[[#This Row],[ID_Antenne]],[1]Log_Réseaux!B:B,[1]Log_Réseaux!C:C),"NA")</f>
        <v>NA</v>
      </c>
      <c r="H164" s="7" t="str">
        <f>IFERROR(_xlfn.XLOOKUP([1]!Registre[[#This Row],[ID_Antenne]],[1]Log_Réseaux!B:B,[1]Log_Réseaux!D:D),"NA")</f>
        <v>NA</v>
      </c>
    </row>
    <row r="165" spans="1:8" x14ac:dyDescent="0.25">
      <c r="A165" s="6" t="s">
        <v>959</v>
      </c>
      <c r="B165" s="6" t="s">
        <v>97</v>
      </c>
      <c r="C165" s="6">
        <v>-11.991020000000001</v>
      </c>
      <c r="D165" s="6">
        <v>22.514747</v>
      </c>
      <c r="E165" s="6" t="s">
        <v>796</v>
      </c>
      <c r="F165" s="6" t="s">
        <v>791</v>
      </c>
      <c r="G165" s="7">
        <f>IFERROR(_xlfn.XLOOKUP([1]!Registre[[#This Row],[ID_Antenne]],[1]Log_Réseaux!B:B,[1]Log_Réseaux!C:C),"NA")</f>
        <v>2</v>
      </c>
      <c r="H165" s="7">
        <f>IFERROR(_xlfn.XLOOKUP([1]!Registre[[#This Row],[ID_Antenne]],[1]Log_Réseaux!B:B,[1]Log_Réseaux!D:D),"NA")</f>
        <v>98</v>
      </c>
    </row>
    <row r="166" spans="1:8" x14ac:dyDescent="0.25">
      <c r="A166" s="6" t="s">
        <v>960</v>
      </c>
      <c r="B166" s="6" t="s">
        <v>156</v>
      </c>
      <c r="C166" s="6">
        <v>-6.7304589999999997</v>
      </c>
      <c r="D166" s="6">
        <v>24.541906999999998</v>
      </c>
      <c r="E166" s="6" t="s">
        <v>790</v>
      </c>
      <c r="F166" s="6" t="s">
        <v>793</v>
      </c>
      <c r="G166" s="7" t="str">
        <f>IFERROR(_xlfn.XLOOKUP([1]!Registre[[#This Row],[ID_Antenne]],[1]Log_Réseaux!B:B,[1]Log_Réseaux!C:C),"NA")</f>
        <v>NA</v>
      </c>
      <c r="H166" s="7" t="str">
        <f>IFERROR(_xlfn.XLOOKUP([1]!Registre[[#This Row],[ID_Antenne]],[1]Log_Réseaux!B:B,[1]Log_Réseaux!D:D),"NA")</f>
        <v>NA</v>
      </c>
    </row>
    <row r="167" spans="1:8" x14ac:dyDescent="0.25">
      <c r="A167" s="6" t="s">
        <v>961</v>
      </c>
      <c r="B167" s="6" t="s">
        <v>69</v>
      </c>
      <c r="C167" s="6">
        <v>0.114899</v>
      </c>
      <c r="D167" s="6">
        <v>30.510916000000002</v>
      </c>
      <c r="E167" s="6" t="s">
        <v>800</v>
      </c>
      <c r="F167" s="6" t="s">
        <v>793</v>
      </c>
      <c r="G167" s="7" t="str">
        <f>IFERROR(_xlfn.XLOOKUP([1]!Registre[[#This Row],[ID_Antenne]],[1]Log_Réseaux!B:B,[1]Log_Réseaux!C:C),"NA")</f>
        <v>NA</v>
      </c>
      <c r="H167" s="7" t="str">
        <f>IFERROR(_xlfn.XLOOKUP([1]!Registre[[#This Row],[ID_Antenne]],[1]Log_Réseaux!B:B,[1]Log_Réseaux!D:D),"NA")</f>
        <v>NA</v>
      </c>
    </row>
    <row r="168" spans="1:8" x14ac:dyDescent="0.25">
      <c r="A168" s="6" t="s">
        <v>962</v>
      </c>
      <c r="B168" s="6" t="s">
        <v>6</v>
      </c>
      <c r="C168" s="6">
        <v>-11.793894</v>
      </c>
      <c r="D168" s="6">
        <v>20.433340999999999</v>
      </c>
      <c r="E168" s="6" t="s">
        <v>796</v>
      </c>
      <c r="F168" s="6" t="s">
        <v>793</v>
      </c>
      <c r="G168" s="7">
        <f>IFERROR(_xlfn.XLOOKUP([1]!Registre[[#This Row],[ID_Antenne]],[1]Log_Réseaux!B:B,[1]Log_Réseaux!C:C),"NA")</f>
        <v>2</v>
      </c>
      <c r="H168" s="7">
        <f>IFERROR(_xlfn.XLOOKUP([1]!Registre[[#This Row],[ID_Antenne]],[1]Log_Réseaux!B:B,[1]Log_Réseaux!D:D),"NA")</f>
        <v>206</v>
      </c>
    </row>
    <row r="169" spans="1:8" x14ac:dyDescent="0.25">
      <c r="A169" s="6" t="s">
        <v>963</v>
      </c>
      <c r="B169" s="6" t="s">
        <v>48</v>
      </c>
      <c r="C169" s="6">
        <v>1.3657680000000001</v>
      </c>
      <c r="D169" s="6">
        <v>21.423017000000002</v>
      </c>
      <c r="E169" s="6" t="s">
        <v>796</v>
      </c>
      <c r="F169" s="6" t="s">
        <v>802</v>
      </c>
      <c r="G169" s="7" t="str">
        <f>IFERROR(_xlfn.XLOOKUP([1]!Registre[[#This Row],[ID_Antenne]],[1]Log_Réseaux!B:B,[1]Log_Réseaux!C:C),"NA")</f>
        <v>NA</v>
      </c>
      <c r="H169" s="7" t="str">
        <f>IFERROR(_xlfn.XLOOKUP([1]!Registre[[#This Row],[ID_Antenne]],[1]Log_Réseaux!B:B,[1]Log_Réseaux!D:D),"NA")</f>
        <v>NA</v>
      </c>
    </row>
    <row r="170" spans="1:8" x14ac:dyDescent="0.25">
      <c r="A170" s="6" t="s">
        <v>964</v>
      </c>
      <c r="B170" s="6" t="s">
        <v>97</v>
      </c>
      <c r="C170" s="6">
        <v>-0.90854400000000002</v>
      </c>
      <c r="D170" s="6">
        <v>17.154896999999998</v>
      </c>
      <c r="E170" s="6" t="s">
        <v>800</v>
      </c>
      <c r="F170" s="6" t="s">
        <v>797</v>
      </c>
      <c r="G170" s="7">
        <f>IFERROR(_xlfn.XLOOKUP([1]!Registre[[#This Row],[ID_Antenne]],[1]Log_Réseaux!B:B,[1]Log_Réseaux!C:C),"NA")</f>
        <v>1</v>
      </c>
      <c r="H170" s="7">
        <f>IFERROR(_xlfn.XLOOKUP([1]!Registre[[#This Row],[ID_Antenne]],[1]Log_Réseaux!B:B,[1]Log_Réseaux!D:D),"NA")</f>
        <v>28</v>
      </c>
    </row>
    <row r="171" spans="1:8" x14ac:dyDescent="0.25">
      <c r="A171" s="6" t="s">
        <v>965</v>
      </c>
      <c r="B171" s="6" t="s">
        <v>9</v>
      </c>
      <c r="C171" s="6">
        <v>5.3608999999999997E-2</v>
      </c>
      <c r="D171" s="6">
        <v>28.346852999999999</v>
      </c>
      <c r="E171" s="6" t="s">
        <v>800</v>
      </c>
      <c r="F171" s="6" t="s">
        <v>791</v>
      </c>
      <c r="G171" s="7">
        <f>IFERROR(_xlfn.XLOOKUP([1]!Registre[[#This Row],[ID_Antenne]],[1]Log_Réseaux!B:B,[1]Log_Réseaux!C:C),"NA")</f>
        <v>1</v>
      </c>
      <c r="H171" s="7">
        <f>IFERROR(_xlfn.XLOOKUP([1]!Registre[[#This Row],[ID_Antenne]],[1]Log_Réseaux!B:B,[1]Log_Réseaux!D:D),"NA")</f>
        <v>34</v>
      </c>
    </row>
    <row r="172" spans="1:8" x14ac:dyDescent="0.25">
      <c r="A172" s="6" t="s">
        <v>966</v>
      </c>
      <c r="B172" s="6" t="s">
        <v>46</v>
      </c>
      <c r="C172" s="6">
        <v>-11.055339999999999</v>
      </c>
      <c r="D172" s="6">
        <v>21.627016000000001</v>
      </c>
      <c r="E172" s="6" t="s">
        <v>796</v>
      </c>
      <c r="F172" s="6" t="s">
        <v>793</v>
      </c>
      <c r="G172" s="7" t="str">
        <f>IFERROR(_xlfn.XLOOKUP([1]!Registre[[#This Row],[ID_Antenne]],[1]Log_Réseaux!B:B,[1]Log_Réseaux!C:C),"NA")</f>
        <v>NA</v>
      </c>
      <c r="H172" s="7" t="str">
        <f>IFERROR(_xlfn.XLOOKUP([1]!Registre[[#This Row],[ID_Antenne]],[1]Log_Réseaux!B:B,[1]Log_Réseaux!D:D),"NA")</f>
        <v>NA</v>
      </c>
    </row>
    <row r="173" spans="1:8" x14ac:dyDescent="0.25">
      <c r="A173" s="6" t="s">
        <v>967</v>
      </c>
      <c r="B173" s="6" t="s">
        <v>15</v>
      </c>
      <c r="C173" s="6">
        <v>1.2463919999999999</v>
      </c>
      <c r="D173" s="6">
        <v>13.266916999999999</v>
      </c>
      <c r="E173" s="6" t="s">
        <v>796</v>
      </c>
      <c r="F173" s="6" t="s">
        <v>797</v>
      </c>
      <c r="G173" s="7">
        <f>IFERROR(_xlfn.XLOOKUP([1]!Registre[[#This Row],[ID_Antenne]],[1]Log_Réseaux!B:B,[1]Log_Réseaux!C:C),"NA")</f>
        <v>1</v>
      </c>
      <c r="H173" s="7">
        <f>IFERROR(_xlfn.XLOOKUP([1]!Registre[[#This Row],[ID_Antenne]],[1]Log_Réseaux!B:B,[1]Log_Réseaux!D:D),"NA")</f>
        <v>104</v>
      </c>
    </row>
    <row r="174" spans="1:8" x14ac:dyDescent="0.25">
      <c r="A174" s="6" t="s">
        <v>968</v>
      </c>
      <c r="B174" s="6" t="s">
        <v>72</v>
      </c>
      <c r="C174" s="6">
        <v>-12.411144999999999</v>
      </c>
      <c r="D174" s="6">
        <v>29.876642</v>
      </c>
      <c r="E174" s="6" t="s">
        <v>790</v>
      </c>
      <c r="F174" s="6" t="s">
        <v>802</v>
      </c>
      <c r="G174" s="7" t="str">
        <f>IFERROR(_xlfn.XLOOKUP([1]!Registre[[#This Row],[ID_Antenne]],[1]Log_Réseaux!B:B,[1]Log_Réseaux!C:C),"NA")</f>
        <v>NA</v>
      </c>
      <c r="H174" s="7" t="str">
        <f>IFERROR(_xlfn.XLOOKUP([1]!Registre[[#This Row],[ID_Antenne]],[1]Log_Réseaux!B:B,[1]Log_Réseaux!D:D),"NA")</f>
        <v>NA</v>
      </c>
    </row>
    <row r="175" spans="1:8" x14ac:dyDescent="0.25">
      <c r="A175" s="6" t="s">
        <v>969</v>
      </c>
      <c r="B175" s="6" t="s">
        <v>12</v>
      </c>
      <c r="C175" s="6">
        <v>-7.6951369999999999</v>
      </c>
      <c r="D175" s="6">
        <v>13.346605</v>
      </c>
      <c r="E175" s="6" t="s">
        <v>790</v>
      </c>
      <c r="F175" s="6" t="s">
        <v>802</v>
      </c>
      <c r="G175" s="7">
        <f>IFERROR(_xlfn.XLOOKUP([1]!Registre[[#This Row],[ID_Antenne]],[1]Log_Réseaux!B:B,[1]Log_Réseaux!C:C),"NA")</f>
        <v>1</v>
      </c>
      <c r="H175" s="7">
        <f>IFERROR(_xlfn.XLOOKUP([1]!Registre[[#This Row],[ID_Antenne]],[1]Log_Réseaux!B:B,[1]Log_Réseaux!D:D),"NA")</f>
        <v>87</v>
      </c>
    </row>
    <row r="176" spans="1:8" x14ac:dyDescent="0.25">
      <c r="A176" s="6" t="s">
        <v>970</v>
      </c>
      <c r="B176" s="6" t="s">
        <v>18</v>
      </c>
      <c r="C176" s="6">
        <v>-12.112682</v>
      </c>
      <c r="D176" s="6">
        <v>19.972052000000001</v>
      </c>
      <c r="E176" s="6" t="s">
        <v>790</v>
      </c>
      <c r="F176" s="6" t="s">
        <v>797</v>
      </c>
      <c r="G176" s="7">
        <f>IFERROR(_xlfn.XLOOKUP([1]!Registre[[#This Row],[ID_Antenne]],[1]Log_Réseaux!B:B,[1]Log_Réseaux!C:C),"NA")</f>
        <v>2</v>
      </c>
      <c r="H176" s="7">
        <f>IFERROR(_xlfn.XLOOKUP([1]!Registre[[#This Row],[ID_Antenne]],[1]Log_Réseaux!B:B,[1]Log_Réseaux!D:D),"NA")</f>
        <v>181</v>
      </c>
    </row>
    <row r="177" spans="1:8" x14ac:dyDescent="0.25">
      <c r="A177" s="6" t="s">
        <v>971</v>
      </c>
      <c r="B177" s="6" t="s">
        <v>62</v>
      </c>
      <c r="C177" s="6">
        <v>-9.0798120000000004</v>
      </c>
      <c r="D177" s="6">
        <v>14.945484</v>
      </c>
      <c r="E177" s="6" t="s">
        <v>796</v>
      </c>
      <c r="F177" s="6" t="s">
        <v>802</v>
      </c>
      <c r="G177" s="7">
        <f>IFERROR(_xlfn.XLOOKUP([1]!Registre[[#This Row],[ID_Antenne]],[1]Log_Réseaux!B:B,[1]Log_Réseaux!C:C),"NA")</f>
        <v>2</v>
      </c>
      <c r="H177" s="7">
        <f>IFERROR(_xlfn.XLOOKUP([1]!Registre[[#This Row],[ID_Antenne]],[1]Log_Réseaux!B:B,[1]Log_Réseaux!D:D),"NA")</f>
        <v>78</v>
      </c>
    </row>
    <row r="178" spans="1:8" x14ac:dyDescent="0.25">
      <c r="A178" s="6" t="s">
        <v>972</v>
      </c>
      <c r="B178" s="6" t="s">
        <v>57</v>
      </c>
      <c r="C178" s="6">
        <v>-4.9552579999999997</v>
      </c>
      <c r="D178" s="6">
        <v>22.008103999999999</v>
      </c>
      <c r="E178" s="6" t="s">
        <v>790</v>
      </c>
      <c r="F178" s="6" t="s">
        <v>797</v>
      </c>
      <c r="G178" s="7">
        <f>IFERROR(_xlfn.XLOOKUP([1]!Registre[[#This Row],[ID_Antenne]],[1]Log_Réseaux!B:B,[1]Log_Réseaux!C:C),"NA")</f>
        <v>1</v>
      </c>
      <c r="H178" s="7">
        <f>IFERROR(_xlfn.XLOOKUP([1]!Registre[[#This Row],[ID_Antenne]],[1]Log_Réseaux!B:B,[1]Log_Réseaux!D:D),"NA")</f>
        <v>41</v>
      </c>
    </row>
    <row r="179" spans="1:8" x14ac:dyDescent="0.25">
      <c r="A179" s="6" t="s">
        <v>973</v>
      </c>
      <c r="B179" s="6" t="s">
        <v>46</v>
      </c>
      <c r="C179" s="6">
        <v>-9.5266249999999992</v>
      </c>
      <c r="D179" s="6">
        <v>27.889690999999999</v>
      </c>
      <c r="E179" s="6" t="s">
        <v>790</v>
      </c>
      <c r="F179" s="6" t="s">
        <v>802</v>
      </c>
      <c r="G179" s="7">
        <f>IFERROR(_xlfn.XLOOKUP([1]!Registre[[#This Row],[ID_Antenne]],[1]Log_Réseaux!B:B,[1]Log_Réseaux!C:C),"NA")</f>
        <v>1</v>
      </c>
      <c r="H179" s="7">
        <f>IFERROR(_xlfn.XLOOKUP([1]!Registre[[#This Row],[ID_Antenne]],[1]Log_Réseaux!B:B,[1]Log_Réseaux!D:D),"NA")</f>
        <v>39</v>
      </c>
    </row>
    <row r="180" spans="1:8" x14ac:dyDescent="0.25">
      <c r="A180" s="6" t="s">
        <v>974</v>
      </c>
      <c r="B180" s="6" t="s">
        <v>62</v>
      </c>
      <c r="C180" s="6">
        <v>-11.591777</v>
      </c>
      <c r="D180" s="6">
        <v>21.213452</v>
      </c>
      <c r="E180" s="6" t="s">
        <v>796</v>
      </c>
      <c r="F180" s="6" t="s">
        <v>802</v>
      </c>
      <c r="G180" s="7" t="str">
        <f>IFERROR(_xlfn.XLOOKUP([1]!Registre[[#This Row],[ID_Antenne]],[1]Log_Réseaux!B:B,[1]Log_Réseaux!C:C),"NA")</f>
        <v>NA</v>
      </c>
      <c r="H180" s="7" t="str">
        <f>IFERROR(_xlfn.XLOOKUP([1]!Registre[[#This Row],[ID_Antenne]],[1]Log_Réseaux!B:B,[1]Log_Réseaux!D:D),"NA")</f>
        <v>NA</v>
      </c>
    </row>
    <row r="181" spans="1:8" x14ac:dyDescent="0.25">
      <c r="A181" s="6" t="s">
        <v>975</v>
      </c>
      <c r="B181" s="6" t="s">
        <v>22</v>
      </c>
      <c r="C181" s="6">
        <v>4.497306</v>
      </c>
      <c r="D181" s="6">
        <v>12.857251</v>
      </c>
      <c r="E181" s="6" t="s">
        <v>796</v>
      </c>
      <c r="F181" s="6" t="s">
        <v>802</v>
      </c>
      <c r="G181" s="7">
        <f>IFERROR(_xlfn.XLOOKUP([1]!Registre[[#This Row],[ID_Antenne]],[1]Log_Réseaux!B:B,[1]Log_Réseaux!C:C),"NA")</f>
        <v>1</v>
      </c>
      <c r="H181" s="7">
        <f>IFERROR(_xlfn.XLOOKUP([1]!Registre[[#This Row],[ID_Antenne]],[1]Log_Réseaux!B:B,[1]Log_Réseaux!D:D),"NA")</f>
        <v>61</v>
      </c>
    </row>
    <row r="182" spans="1:8" x14ac:dyDescent="0.25">
      <c r="A182" s="6" t="s">
        <v>976</v>
      </c>
      <c r="B182" s="6" t="s">
        <v>59</v>
      </c>
      <c r="C182" s="6">
        <v>-1.762294</v>
      </c>
      <c r="D182" s="6">
        <v>29.617228000000001</v>
      </c>
      <c r="E182" s="6" t="s">
        <v>790</v>
      </c>
      <c r="F182" s="6" t="s">
        <v>791</v>
      </c>
      <c r="G182" s="7" t="str">
        <f>IFERROR(_xlfn.XLOOKUP([1]!Registre[[#This Row],[ID_Antenne]],[1]Log_Réseaux!B:B,[1]Log_Réseaux!C:C),"NA")</f>
        <v>NA</v>
      </c>
      <c r="H182" s="7" t="str">
        <f>IFERROR(_xlfn.XLOOKUP([1]!Registre[[#This Row],[ID_Antenne]],[1]Log_Réseaux!B:B,[1]Log_Réseaux!D:D),"NA")</f>
        <v>NA</v>
      </c>
    </row>
    <row r="183" spans="1:8" x14ac:dyDescent="0.25">
      <c r="A183" s="6" t="s">
        <v>977</v>
      </c>
      <c r="B183" s="6" t="s">
        <v>62</v>
      </c>
      <c r="C183" s="6">
        <v>-10.653247</v>
      </c>
      <c r="D183" s="6">
        <v>14.685601</v>
      </c>
      <c r="E183" s="6" t="s">
        <v>790</v>
      </c>
      <c r="F183" s="6" t="s">
        <v>802</v>
      </c>
      <c r="G183" s="7">
        <f>IFERROR(_xlfn.XLOOKUP([1]!Registre[[#This Row],[ID_Antenne]],[1]Log_Réseaux!B:B,[1]Log_Réseaux!C:C),"NA")</f>
        <v>1</v>
      </c>
      <c r="H183" s="7">
        <f>IFERROR(_xlfn.XLOOKUP([1]!Registre[[#This Row],[ID_Antenne]],[1]Log_Réseaux!B:B,[1]Log_Réseaux!D:D),"NA")</f>
        <v>30</v>
      </c>
    </row>
    <row r="184" spans="1:8" x14ac:dyDescent="0.25">
      <c r="A184" s="6" t="s">
        <v>978</v>
      </c>
      <c r="B184" s="6" t="s">
        <v>57</v>
      </c>
      <c r="C184" s="6">
        <v>-7.5641280000000002</v>
      </c>
      <c r="D184" s="6">
        <v>18.129529999999999</v>
      </c>
      <c r="E184" s="6" t="s">
        <v>800</v>
      </c>
      <c r="F184" s="6" t="s">
        <v>797</v>
      </c>
      <c r="G184" s="7">
        <f>IFERROR(_xlfn.XLOOKUP([1]!Registre[[#This Row],[ID_Antenne]],[1]Log_Réseaux!B:B,[1]Log_Réseaux!C:C),"NA")</f>
        <v>1</v>
      </c>
      <c r="H184" s="7">
        <f>IFERROR(_xlfn.XLOOKUP([1]!Registre[[#This Row],[ID_Antenne]],[1]Log_Réseaux!B:B,[1]Log_Réseaux!D:D),"NA")</f>
        <v>41</v>
      </c>
    </row>
    <row r="185" spans="1:8" x14ac:dyDescent="0.25">
      <c r="A185" s="6" t="s">
        <v>979</v>
      </c>
      <c r="B185" s="6" t="s">
        <v>15</v>
      </c>
      <c r="C185" s="6">
        <v>-2.9326690000000002</v>
      </c>
      <c r="D185" s="6">
        <v>12.349382</v>
      </c>
      <c r="E185" s="6" t="s">
        <v>796</v>
      </c>
      <c r="F185" s="6" t="s">
        <v>791</v>
      </c>
      <c r="G185" s="7" t="str">
        <f>IFERROR(_xlfn.XLOOKUP([1]!Registre[[#This Row],[ID_Antenne]],[1]Log_Réseaux!B:B,[1]Log_Réseaux!C:C),"NA")</f>
        <v>NA</v>
      </c>
      <c r="H185" s="7" t="str">
        <f>IFERROR(_xlfn.XLOOKUP([1]!Registre[[#This Row],[ID_Antenne]],[1]Log_Réseaux!B:B,[1]Log_Réseaux!D:D),"NA")</f>
        <v>NA</v>
      </c>
    </row>
    <row r="186" spans="1:8" x14ac:dyDescent="0.25">
      <c r="A186" s="6" t="s">
        <v>980</v>
      </c>
      <c r="B186" s="6" t="s">
        <v>6</v>
      </c>
      <c r="C186" s="6">
        <v>-1.5936220000000001</v>
      </c>
      <c r="D186" s="6">
        <v>14.928856</v>
      </c>
      <c r="E186" s="6" t="s">
        <v>796</v>
      </c>
      <c r="F186" s="6" t="s">
        <v>802</v>
      </c>
      <c r="G186" s="7">
        <f>IFERROR(_xlfn.XLOOKUP([1]!Registre[[#This Row],[ID_Antenne]],[1]Log_Réseaux!B:B,[1]Log_Réseaux!C:C),"NA")</f>
        <v>1</v>
      </c>
      <c r="H186" s="7">
        <f>IFERROR(_xlfn.XLOOKUP([1]!Registre[[#This Row],[ID_Antenne]],[1]Log_Réseaux!B:B,[1]Log_Réseaux!D:D),"NA")</f>
        <v>115</v>
      </c>
    </row>
    <row r="187" spans="1:8" x14ac:dyDescent="0.25">
      <c r="A187" s="6" t="s">
        <v>981</v>
      </c>
      <c r="B187" s="6" t="s">
        <v>40</v>
      </c>
      <c r="C187" s="6">
        <v>-1.013558</v>
      </c>
      <c r="D187" s="6">
        <v>17.346937</v>
      </c>
      <c r="E187" s="6" t="s">
        <v>796</v>
      </c>
      <c r="F187" s="6" t="s">
        <v>797</v>
      </c>
      <c r="G187" s="7">
        <f>IFERROR(_xlfn.XLOOKUP([1]!Registre[[#This Row],[ID_Antenne]],[1]Log_Réseaux!B:B,[1]Log_Réseaux!C:C),"NA")</f>
        <v>1</v>
      </c>
      <c r="H187" s="7">
        <f>IFERROR(_xlfn.XLOOKUP([1]!Registre[[#This Row],[ID_Antenne]],[1]Log_Réseaux!B:B,[1]Log_Réseaux!D:D),"NA")</f>
        <v>25</v>
      </c>
    </row>
    <row r="188" spans="1:8" x14ac:dyDescent="0.25">
      <c r="A188" s="6" t="s">
        <v>982</v>
      </c>
      <c r="B188" s="6" t="s">
        <v>48</v>
      </c>
      <c r="C188" s="6">
        <v>-10.611184</v>
      </c>
      <c r="D188" s="6">
        <v>23.022268</v>
      </c>
      <c r="E188" s="6" t="s">
        <v>796</v>
      </c>
      <c r="F188" s="6" t="s">
        <v>791</v>
      </c>
      <c r="G188" s="7">
        <f>IFERROR(_xlfn.XLOOKUP([1]!Registre[[#This Row],[ID_Antenne]],[1]Log_Réseaux!B:B,[1]Log_Réseaux!C:C),"NA")</f>
        <v>1</v>
      </c>
      <c r="H188" s="7">
        <f>IFERROR(_xlfn.XLOOKUP([1]!Registre[[#This Row],[ID_Antenne]],[1]Log_Réseaux!B:B,[1]Log_Réseaux!D:D),"NA")</f>
        <v>108</v>
      </c>
    </row>
    <row r="189" spans="1:8" x14ac:dyDescent="0.25">
      <c r="A189" s="6" t="s">
        <v>983</v>
      </c>
      <c r="B189" s="6" t="s">
        <v>69</v>
      </c>
      <c r="C189" s="6">
        <v>-9.2227779999999999</v>
      </c>
      <c r="D189" s="6">
        <v>20.940372</v>
      </c>
      <c r="E189" s="6" t="s">
        <v>800</v>
      </c>
      <c r="F189" s="6" t="s">
        <v>802</v>
      </c>
      <c r="G189" s="7" t="str">
        <f>IFERROR(_xlfn.XLOOKUP([1]!Registre[[#This Row],[ID_Antenne]],[1]Log_Réseaux!B:B,[1]Log_Réseaux!C:C),"NA")</f>
        <v>NA</v>
      </c>
      <c r="H189" s="7" t="str">
        <f>IFERROR(_xlfn.XLOOKUP([1]!Registre[[#This Row],[ID_Antenne]],[1]Log_Réseaux!B:B,[1]Log_Réseaux!D:D),"NA")</f>
        <v>NA</v>
      </c>
    </row>
    <row r="190" spans="1:8" x14ac:dyDescent="0.25">
      <c r="A190" s="6" t="s">
        <v>984</v>
      </c>
      <c r="B190" s="6" t="s">
        <v>18</v>
      </c>
      <c r="C190" s="6">
        <v>-0.45332</v>
      </c>
      <c r="D190" s="6">
        <v>29.674009999999999</v>
      </c>
      <c r="E190" s="6" t="s">
        <v>796</v>
      </c>
      <c r="F190" s="6" t="s">
        <v>802</v>
      </c>
      <c r="G190" s="7" t="str">
        <f>IFERROR(_xlfn.XLOOKUP([1]!Registre[[#This Row],[ID_Antenne]],[1]Log_Réseaux!B:B,[1]Log_Réseaux!C:C),"NA")</f>
        <v>NA</v>
      </c>
      <c r="H190" s="7" t="str">
        <f>IFERROR(_xlfn.XLOOKUP([1]!Registre[[#This Row],[ID_Antenne]],[1]Log_Réseaux!B:B,[1]Log_Réseaux!D:D),"NA")</f>
        <v>NA</v>
      </c>
    </row>
    <row r="191" spans="1:8" x14ac:dyDescent="0.25">
      <c r="A191" s="6" t="s">
        <v>985</v>
      </c>
      <c r="B191" s="6" t="s">
        <v>62</v>
      </c>
      <c r="C191" s="6">
        <v>3.524343</v>
      </c>
      <c r="D191" s="6">
        <v>27.340824000000001</v>
      </c>
      <c r="E191" s="6" t="s">
        <v>790</v>
      </c>
      <c r="F191" s="6" t="s">
        <v>802</v>
      </c>
      <c r="G191" s="7" t="str">
        <f>IFERROR(_xlfn.XLOOKUP([1]!Registre[[#This Row],[ID_Antenne]],[1]Log_Réseaux!B:B,[1]Log_Réseaux!C:C),"NA")</f>
        <v>NA</v>
      </c>
      <c r="H191" s="7" t="str">
        <f>IFERROR(_xlfn.XLOOKUP([1]!Registre[[#This Row],[ID_Antenne]],[1]Log_Réseaux!B:B,[1]Log_Réseaux!D:D),"NA")</f>
        <v>NA</v>
      </c>
    </row>
    <row r="192" spans="1:8" x14ac:dyDescent="0.25">
      <c r="A192" s="6" t="s">
        <v>986</v>
      </c>
      <c r="B192" s="6" t="s">
        <v>72</v>
      </c>
      <c r="C192" s="6">
        <v>-11.588665000000001</v>
      </c>
      <c r="D192" s="6">
        <v>15.241552</v>
      </c>
      <c r="E192" s="6" t="s">
        <v>790</v>
      </c>
      <c r="F192" s="6" t="s">
        <v>793</v>
      </c>
      <c r="G192" s="7">
        <f>IFERROR(_xlfn.XLOOKUP([1]!Registre[[#This Row],[ID_Antenne]],[1]Log_Réseaux!B:B,[1]Log_Réseaux!C:C),"NA")</f>
        <v>1</v>
      </c>
      <c r="H192" s="7">
        <f>IFERROR(_xlfn.XLOOKUP([1]!Registre[[#This Row],[ID_Antenne]],[1]Log_Réseaux!B:B,[1]Log_Réseaux!D:D),"NA")</f>
        <v>92</v>
      </c>
    </row>
    <row r="193" spans="1:8" x14ac:dyDescent="0.25">
      <c r="A193" s="6" t="s">
        <v>987</v>
      </c>
      <c r="B193" s="6" t="s">
        <v>15</v>
      </c>
      <c r="C193" s="6">
        <v>2.8552499999999998</v>
      </c>
      <c r="D193" s="6">
        <v>14.077933</v>
      </c>
      <c r="E193" s="6" t="s">
        <v>790</v>
      </c>
      <c r="F193" s="6" t="s">
        <v>791</v>
      </c>
      <c r="G193" s="7">
        <f>IFERROR(_xlfn.XLOOKUP([1]!Registre[[#This Row],[ID_Antenne]],[1]Log_Réseaux!B:B,[1]Log_Réseaux!C:C),"NA")</f>
        <v>1</v>
      </c>
      <c r="H193" s="7">
        <f>IFERROR(_xlfn.XLOOKUP([1]!Registre[[#This Row],[ID_Antenne]],[1]Log_Réseaux!B:B,[1]Log_Réseaux!D:D),"NA")</f>
        <v>53</v>
      </c>
    </row>
    <row r="194" spans="1:8" x14ac:dyDescent="0.25">
      <c r="A194" s="6" t="s">
        <v>988</v>
      </c>
      <c r="B194" s="6" t="s">
        <v>28</v>
      </c>
      <c r="C194" s="6">
        <v>2.5458379999999998</v>
      </c>
      <c r="D194" s="6">
        <v>13.308655</v>
      </c>
      <c r="E194" s="6" t="s">
        <v>796</v>
      </c>
      <c r="F194" s="6" t="s">
        <v>791</v>
      </c>
      <c r="G194" s="7">
        <f>IFERROR(_xlfn.XLOOKUP([1]!Registre[[#This Row],[ID_Antenne]],[1]Log_Réseaux!B:B,[1]Log_Réseaux!C:C),"NA")</f>
        <v>2</v>
      </c>
      <c r="H194" s="7">
        <f>IFERROR(_xlfn.XLOOKUP([1]!Registre[[#This Row],[ID_Antenne]],[1]Log_Réseaux!B:B,[1]Log_Réseaux!D:D),"NA")</f>
        <v>57</v>
      </c>
    </row>
    <row r="195" spans="1:8" x14ac:dyDescent="0.25">
      <c r="A195" s="6" t="s">
        <v>989</v>
      </c>
      <c r="B195" s="6" t="s">
        <v>32</v>
      </c>
      <c r="C195" s="6">
        <v>1.1800139999999999</v>
      </c>
      <c r="D195" s="6">
        <v>20.334562999999999</v>
      </c>
      <c r="E195" s="6" t="s">
        <v>800</v>
      </c>
      <c r="F195" s="6" t="s">
        <v>791</v>
      </c>
      <c r="G195" s="7" t="str">
        <f>IFERROR(_xlfn.XLOOKUP([1]!Registre[[#This Row],[ID_Antenne]],[1]Log_Réseaux!B:B,[1]Log_Réseaux!C:C),"NA")</f>
        <v>NA</v>
      </c>
      <c r="H195" s="7" t="str">
        <f>IFERROR(_xlfn.XLOOKUP([1]!Registre[[#This Row],[ID_Antenne]],[1]Log_Réseaux!B:B,[1]Log_Réseaux!D:D),"NA")</f>
        <v>NA</v>
      </c>
    </row>
    <row r="196" spans="1:8" x14ac:dyDescent="0.25">
      <c r="A196" s="6" t="s">
        <v>990</v>
      </c>
      <c r="B196" s="6" t="s">
        <v>18</v>
      </c>
      <c r="C196" s="6">
        <v>-8.3575920000000004</v>
      </c>
      <c r="D196" s="6">
        <v>25.538395000000001</v>
      </c>
      <c r="E196" s="6" t="s">
        <v>800</v>
      </c>
      <c r="F196" s="6" t="s">
        <v>791</v>
      </c>
      <c r="G196" s="7" t="str">
        <f>IFERROR(_xlfn.XLOOKUP([1]!Registre[[#This Row],[ID_Antenne]],[1]Log_Réseaux!B:B,[1]Log_Réseaux!C:C),"NA")</f>
        <v>NA</v>
      </c>
      <c r="H196" s="7" t="str">
        <f>IFERROR(_xlfn.XLOOKUP([1]!Registre[[#This Row],[ID_Antenne]],[1]Log_Réseaux!B:B,[1]Log_Réseaux!D:D),"NA")</f>
        <v>NA</v>
      </c>
    </row>
    <row r="197" spans="1:8" x14ac:dyDescent="0.25">
      <c r="A197" s="6" t="s">
        <v>991</v>
      </c>
      <c r="B197" s="6" t="s">
        <v>30</v>
      </c>
      <c r="C197" s="6">
        <v>1.178453</v>
      </c>
      <c r="D197" s="6">
        <v>17.479081000000001</v>
      </c>
      <c r="E197" s="6" t="s">
        <v>800</v>
      </c>
      <c r="F197" s="6" t="s">
        <v>802</v>
      </c>
      <c r="G197" s="7" t="str">
        <f>IFERROR(_xlfn.XLOOKUP([1]!Registre[[#This Row],[ID_Antenne]],[1]Log_Réseaux!B:B,[1]Log_Réseaux!C:C),"NA")</f>
        <v>NA</v>
      </c>
      <c r="H197" s="7" t="str">
        <f>IFERROR(_xlfn.XLOOKUP([1]!Registre[[#This Row],[ID_Antenne]],[1]Log_Réseaux!B:B,[1]Log_Réseaux!D:D),"NA")</f>
        <v>NA</v>
      </c>
    </row>
    <row r="198" spans="1:8" x14ac:dyDescent="0.25">
      <c r="A198" s="6" t="s">
        <v>992</v>
      </c>
      <c r="B198" s="6" t="s">
        <v>24</v>
      </c>
      <c r="C198" s="6">
        <v>-2.571777</v>
      </c>
      <c r="D198" s="6">
        <v>12.120642</v>
      </c>
      <c r="E198" s="6" t="s">
        <v>800</v>
      </c>
      <c r="F198" s="6" t="s">
        <v>797</v>
      </c>
      <c r="G198" s="7">
        <f>IFERROR(_xlfn.XLOOKUP([1]!Registre[[#This Row],[ID_Antenne]],[1]Log_Réseaux!B:B,[1]Log_Réseaux!C:C),"NA")</f>
        <v>1</v>
      </c>
      <c r="H198" s="7">
        <f>IFERROR(_xlfn.XLOOKUP([1]!Registre[[#This Row],[ID_Antenne]],[1]Log_Réseaux!B:B,[1]Log_Réseaux!D:D),"NA")</f>
        <v>14</v>
      </c>
    </row>
    <row r="199" spans="1:8" x14ac:dyDescent="0.25">
      <c r="A199" s="6" t="s">
        <v>993</v>
      </c>
      <c r="B199" s="6" t="s">
        <v>97</v>
      </c>
      <c r="C199" s="6">
        <v>-7.5418399999999997</v>
      </c>
      <c r="D199" s="6">
        <v>16.931206</v>
      </c>
      <c r="E199" s="6" t="s">
        <v>800</v>
      </c>
      <c r="F199" s="6" t="s">
        <v>793</v>
      </c>
      <c r="G199" s="7">
        <f>IFERROR(_xlfn.XLOOKUP([1]!Registre[[#This Row],[ID_Antenne]],[1]Log_Réseaux!B:B,[1]Log_Réseaux!C:C),"NA")</f>
        <v>2</v>
      </c>
      <c r="H199" s="7">
        <f>IFERROR(_xlfn.XLOOKUP([1]!Registre[[#This Row],[ID_Antenne]],[1]Log_Réseaux!B:B,[1]Log_Réseaux!D:D),"NA")</f>
        <v>191</v>
      </c>
    </row>
    <row r="200" spans="1:8" x14ac:dyDescent="0.25">
      <c r="A200" s="6" t="s">
        <v>994</v>
      </c>
      <c r="B200" s="6" t="s">
        <v>38</v>
      </c>
      <c r="C200" s="6">
        <v>-2.9651529999999999</v>
      </c>
      <c r="D200" s="6">
        <v>29.79908</v>
      </c>
      <c r="E200" s="6" t="s">
        <v>790</v>
      </c>
      <c r="F200" s="6" t="s">
        <v>802</v>
      </c>
      <c r="G200" s="7">
        <f>IFERROR(_xlfn.XLOOKUP([1]!Registre[[#This Row],[ID_Antenne]],[1]Log_Réseaux!B:B,[1]Log_Réseaux!C:C),"NA")</f>
        <v>2</v>
      </c>
      <c r="H200" s="7">
        <f>IFERROR(_xlfn.XLOOKUP([1]!Registre[[#This Row],[ID_Antenne]],[1]Log_Réseaux!B:B,[1]Log_Réseaux!D:D),"NA")</f>
        <v>120</v>
      </c>
    </row>
    <row r="201" spans="1:8" x14ac:dyDescent="0.25">
      <c r="A201" s="6" t="s">
        <v>995</v>
      </c>
      <c r="B201" s="6" t="s">
        <v>48</v>
      </c>
      <c r="C201" s="6">
        <v>-11.387295999999999</v>
      </c>
      <c r="D201" s="6">
        <v>19.384257999999999</v>
      </c>
      <c r="E201" s="6" t="s">
        <v>800</v>
      </c>
      <c r="F201" s="6" t="s">
        <v>797</v>
      </c>
      <c r="G201" s="7">
        <f>IFERROR(_xlfn.XLOOKUP([1]!Registre[[#This Row],[ID_Antenne]],[1]Log_Réseaux!B:B,[1]Log_Réseaux!C:C),"NA")</f>
        <v>2</v>
      </c>
      <c r="H201" s="7">
        <f>IFERROR(_xlfn.XLOOKUP([1]!Registre[[#This Row],[ID_Antenne]],[1]Log_Réseaux!B:B,[1]Log_Réseaux!D:D),"NA")</f>
        <v>122</v>
      </c>
    </row>
    <row r="202" spans="1:8" x14ac:dyDescent="0.25">
      <c r="A202" s="6" t="s">
        <v>996</v>
      </c>
      <c r="B202" s="6" t="s">
        <v>24</v>
      </c>
      <c r="C202" s="6">
        <v>-2.3677800000000002</v>
      </c>
      <c r="D202" s="6">
        <v>18.790323999999998</v>
      </c>
      <c r="E202" s="6" t="s">
        <v>796</v>
      </c>
      <c r="F202" s="6" t="s">
        <v>797</v>
      </c>
      <c r="G202" s="7">
        <f>IFERROR(_xlfn.XLOOKUP([1]!Registre[[#This Row],[ID_Antenne]],[1]Log_Réseaux!B:B,[1]Log_Réseaux!C:C),"NA")</f>
        <v>2</v>
      </c>
      <c r="H202" s="7">
        <f>IFERROR(_xlfn.XLOOKUP([1]!Registre[[#This Row],[ID_Antenne]],[1]Log_Réseaux!B:B,[1]Log_Réseaux!D:D),"NA")</f>
        <v>151</v>
      </c>
    </row>
    <row r="203" spans="1:8" x14ac:dyDescent="0.25">
      <c r="A203" s="6" t="s">
        <v>997</v>
      </c>
      <c r="B203" s="6" t="s">
        <v>48</v>
      </c>
      <c r="C203" s="6">
        <v>3.611561</v>
      </c>
      <c r="D203" s="6">
        <v>17.725974999999998</v>
      </c>
      <c r="E203" s="6" t="s">
        <v>800</v>
      </c>
      <c r="F203" s="6" t="s">
        <v>791</v>
      </c>
      <c r="G203" s="7">
        <f>IFERROR(_xlfn.XLOOKUP([1]!Registre[[#This Row],[ID_Antenne]],[1]Log_Réseaux!B:B,[1]Log_Réseaux!C:C),"NA")</f>
        <v>1</v>
      </c>
      <c r="H203" s="7">
        <f>IFERROR(_xlfn.XLOOKUP([1]!Registre[[#This Row],[ID_Antenne]],[1]Log_Réseaux!B:B,[1]Log_Réseaux!D:D),"NA")</f>
        <v>42</v>
      </c>
    </row>
    <row r="204" spans="1:8" x14ac:dyDescent="0.25">
      <c r="A204" s="6" t="s">
        <v>998</v>
      </c>
      <c r="B204" s="6" t="s">
        <v>32</v>
      </c>
      <c r="C204" s="6">
        <v>-4.884055</v>
      </c>
      <c r="D204" s="6">
        <v>23.40194</v>
      </c>
      <c r="E204" s="6" t="s">
        <v>800</v>
      </c>
      <c r="F204" s="6" t="s">
        <v>802</v>
      </c>
      <c r="G204" s="7" t="str">
        <f>IFERROR(_xlfn.XLOOKUP([1]!Registre[[#This Row],[ID_Antenne]],[1]Log_Réseaux!B:B,[1]Log_Réseaux!C:C),"NA")</f>
        <v>NA</v>
      </c>
      <c r="H204" s="7" t="str">
        <f>IFERROR(_xlfn.XLOOKUP([1]!Registre[[#This Row],[ID_Antenne]],[1]Log_Réseaux!B:B,[1]Log_Réseaux!D:D),"NA")</f>
        <v>NA</v>
      </c>
    </row>
    <row r="205" spans="1:8" x14ac:dyDescent="0.25">
      <c r="A205" s="6" t="s">
        <v>999</v>
      </c>
      <c r="B205" s="6" t="s">
        <v>18</v>
      </c>
      <c r="C205" s="6">
        <v>-1.3938550000000001</v>
      </c>
      <c r="D205" s="6">
        <v>15.097554000000001</v>
      </c>
      <c r="E205" s="6" t="s">
        <v>790</v>
      </c>
      <c r="F205" s="6" t="s">
        <v>797</v>
      </c>
      <c r="G205" s="7">
        <f>IFERROR(_xlfn.XLOOKUP([1]!Registre[[#This Row],[ID_Antenne]],[1]Log_Réseaux!B:B,[1]Log_Réseaux!C:C),"NA")</f>
        <v>2</v>
      </c>
      <c r="H205" s="7">
        <f>IFERROR(_xlfn.XLOOKUP([1]!Registre[[#This Row],[ID_Antenne]],[1]Log_Réseaux!B:B,[1]Log_Réseaux!D:D),"NA")</f>
        <v>167</v>
      </c>
    </row>
    <row r="206" spans="1:8" x14ac:dyDescent="0.25">
      <c r="A206" s="6" t="s">
        <v>1000</v>
      </c>
      <c r="B206" s="6" t="s">
        <v>156</v>
      </c>
      <c r="C206" s="6">
        <v>-9.5243310000000001</v>
      </c>
      <c r="D206" s="6">
        <v>30.541212000000002</v>
      </c>
      <c r="E206" s="6" t="s">
        <v>800</v>
      </c>
      <c r="F206" s="6" t="s">
        <v>802</v>
      </c>
      <c r="G206" s="7">
        <f>IFERROR(_xlfn.XLOOKUP([1]!Registre[[#This Row],[ID_Antenne]],[1]Log_Réseaux!B:B,[1]Log_Réseaux!C:C),"NA")</f>
        <v>3</v>
      </c>
      <c r="H206" s="7">
        <f>IFERROR(_xlfn.XLOOKUP([1]!Registre[[#This Row],[ID_Antenne]],[1]Log_Réseaux!B:B,[1]Log_Réseaux!D:D),"NA")</f>
        <v>126</v>
      </c>
    </row>
    <row r="207" spans="1:8" x14ac:dyDescent="0.25">
      <c r="A207" s="6" t="s">
        <v>1001</v>
      </c>
      <c r="B207" s="6" t="s">
        <v>40</v>
      </c>
      <c r="C207" s="6">
        <v>-1.9635830000000001</v>
      </c>
      <c r="D207" s="6">
        <v>15.854182</v>
      </c>
      <c r="E207" s="6" t="s">
        <v>800</v>
      </c>
      <c r="F207" s="6" t="s">
        <v>793</v>
      </c>
      <c r="G207" s="7" t="str">
        <f>IFERROR(_xlfn.XLOOKUP([1]!Registre[[#This Row],[ID_Antenne]],[1]Log_Réseaux!B:B,[1]Log_Réseaux!C:C),"NA")</f>
        <v>NA</v>
      </c>
      <c r="H207" s="7" t="str">
        <f>IFERROR(_xlfn.XLOOKUP([1]!Registre[[#This Row],[ID_Antenne]],[1]Log_Réseaux!B:B,[1]Log_Réseaux!D:D),"NA")</f>
        <v>NA</v>
      </c>
    </row>
    <row r="208" spans="1:8" x14ac:dyDescent="0.25">
      <c r="A208" s="6" t="s">
        <v>1002</v>
      </c>
      <c r="B208" s="6" t="s">
        <v>9</v>
      </c>
      <c r="C208" s="6">
        <v>-10.939712999999999</v>
      </c>
      <c r="D208" s="6">
        <v>18.276230999999999</v>
      </c>
      <c r="E208" s="6" t="s">
        <v>790</v>
      </c>
      <c r="F208" s="6" t="s">
        <v>791</v>
      </c>
      <c r="G208" s="7">
        <f>IFERROR(_xlfn.XLOOKUP([1]!Registre[[#This Row],[ID_Antenne]],[1]Log_Réseaux!B:B,[1]Log_Réseaux!C:C),"NA")</f>
        <v>2</v>
      </c>
      <c r="H208" s="7">
        <f>IFERROR(_xlfn.XLOOKUP([1]!Registre[[#This Row],[ID_Antenne]],[1]Log_Réseaux!B:B,[1]Log_Réseaux!D:D),"NA")</f>
        <v>127</v>
      </c>
    </row>
    <row r="209" spans="1:8" x14ac:dyDescent="0.25">
      <c r="A209" s="6" t="s">
        <v>1003</v>
      </c>
      <c r="B209" s="6" t="s">
        <v>57</v>
      </c>
      <c r="C209" s="6">
        <v>-4.6311460000000002</v>
      </c>
      <c r="D209" s="6">
        <v>25.314723000000001</v>
      </c>
      <c r="E209" s="6" t="s">
        <v>790</v>
      </c>
      <c r="F209" s="6" t="s">
        <v>797</v>
      </c>
      <c r="G209" s="7">
        <f>IFERROR(_xlfn.XLOOKUP([1]!Registre[[#This Row],[ID_Antenne]],[1]Log_Réseaux!B:B,[1]Log_Réseaux!C:C),"NA")</f>
        <v>1</v>
      </c>
      <c r="H209" s="7">
        <f>IFERROR(_xlfn.XLOOKUP([1]!Registre[[#This Row],[ID_Antenne]],[1]Log_Réseaux!B:B,[1]Log_Réseaux!D:D),"NA")</f>
        <v>26</v>
      </c>
    </row>
    <row r="210" spans="1:8" x14ac:dyDescent="0.25">
      <c r="A210" s="6" t="s">
        <v>1004</v>
      </c>
      <c r="B210" s="6" t="s">
        <v>6</v>
      </c>
      <c r="C210" s="6">
        <v>3.1362930000000002</v>
      </c>
      <c r="D210" s="6">
        <v>16.190878000000001</v>
      </c>
      <c r="E210" s="6" t="s">
        <v>800</v>
      </c>
      <c r="F210" s="6" t="s">
        <v>793</v>
      </c>
      <c r="G210" s="7">
        <f>IFERROR(_xlfn.XLOOKUP([1]!Registre[[#This Row],[ID_Antenne]],[1]Log_Réseaux!B:B,[1]Log_Réseaux!C:C),"NA")</f>
        <v>1</v>
      </c>
      <c r="H210" s="7">
        <f>IFERROR(_xlfn.XLOOKUP([1]!Registre[[#This Row],[ID_Antenne]],[1]Log_Réseaux!B:B,[1]Log_Réseaux!D:D),"NA")</f>
        <v>52</v>
      </c>
    </row>
    <row r="211" spans="1:8" x14ac:dyDescent="0.25">
      <c r="A211" s="6" t="s">
        <v>1005</v>
      </c>
      <c r="B211" s="6" t="s">
        <v>65</v>
      </c>
      <c r="C211" s="6">
        <v>-4.5603610000000003</v>
      </c>
      <c r="D211" s="6">
        <v>24.113918999999999</v>
      </c>
      <c r="E211" s="6" t="s">
        <v>796</v>
      </c>
      <c r="F211" s="6" t="s">
        <v>791</v>
      </c>
      <c r="G211" s="7">
        <f>IFERROR(_xlfn.XLOOKUP([1]!Registre[[#This Row],[ID_Antenne]],[1]Log_Réseaux!B:B,[1]Log_Réseaux!C:C),"NA")</f>
        <v>2</v>
      </c>
      <c r="H211" s="7">
        <f>IFERROR(_xlfn.XLOOKUP([1]!Registre[[#This Row],[ID_Antenne]],[1]Log_Réseaux!B:B,[1]Log_Réseaux!D:D),"NA")</f>
        <v>107</v>
      </c>
    </row>
    <row r="212" spans="1:8" x14ac:dyDescent="0.25">
      <c r="A212" s="6" t="s">
        <v>1006</v>
      </c>
      <c r="B212" s="6" t="s">
        <v>97</v>
      </c>
      <c r="C212" s="6">
        <v>-1.339734</v>
      </c>
      <c r="D212" s="6">
        <v>15.243098</v>
      </c>
      <c r="E212" s="6" t="s">
        <v>800</v>
      </c>
      <c r="F212" s="6" t="s">
        <v>793</v>
      </c>
      <c r="G212" s="7">
        <f>IFERROR(_xlfn.XLOOKUP([1]!Registre[[#This Row],[ID_Antenne]],[1]Log_Réseaux!B:B,[1]Log_Réseaux!C:C),"NA")</f>
        <v>1</v>
      </c>
      <c r="H212" s="7">
        <f>IFERROR(_xlfn.XLOOKUP([1]!Registre[[#This Row],[ID_Antenne]],[1]Log_Réseaux!B:B,[1]Log_Réseaux!D:D),"NA")</f>
        <v>88</v>
      </c>
    </row>
    <row r="213" spans="1:8" x14ac:dyDescent="0.25">
      <c r="A213" s="6" t="s">
        <v>1007</v>
      </c>
      <c r="B213" s="6" t="s">
        <v>30</v>
      </c>
      <c r="C213" s="6">
        <v>0.35034999999999999</v>
      </c>
      <c r="D213" s="6">
        <v>13.603628</v>
      </c>
      <c r="E213" s="6" t="s">
        <v>796</v>
      </c>
      <c r="F213" s="6" t="s">
        <v>791</v>
      </c>
      <c r="G213" s="7" t="str">
        <f>IFERROR(_xlfn.XLOOKUP([1]!Registre[[#This Row],[ID_Antenne]],[1]Log_Réseaux!B:B,[1]Log_Réseaux!C:C),"NA")</f>
        <v>NA</v>
      </c>
      <c r="H213" s="7" t="str">
        <f>IFERROR(_xlfn.XLOOKUP([1]!Registre[[#This Row],[ID_Antenne]],[1]Log_Réseaux!B:B,[1]Log_Réseaux!D:D),"NA")</f>
        <v>NA</v>
      </c>
    </row>
    <row r="214" spans="1:8" x14ac:dyDescent="0.25">
      <c r="A214" s="6" t="s">
        <v>1008</v>
      </c>
      <c r="B214" s="6" t="s">
        <v>38</v>
      </c>
      <c r="C214" s="6">
        <v>-5.2526849999999996</v>
      </c>
      <c r="D214" s="6">
        <v>12.374528</v>
      </c>
      <c r="E214" s="6" t="s">
        <v>800</v>
      </c>
      <c r="F214" s="6" t="s">
        <v>793</v>
      </c>
      <c r="G214" s="7">
        <f>IFERROR(_xlfn.XLOOKUP([1]!Registre[[#This Row],[ID_Antenne]],[1]Log_Réseaux!B:B,[1]Log_Réseaux!C:C),"NA")</f>
        <v>3</v>
      </c>
      <c r="H214" s="7">
        <f>IFERROR(_xlfn.XLOOKUP([1]!Registre[[#This Row],[ID_Antenne]],[1]Log_Réseaux!B:B,[1]Log_Réseaux!D:D),"NA")</f>
        <v>195</v>
      </c>
    </row>
    <row r="215" spans="1:8" x14ac:dyDescent="0.25">
      <c r="A215" s="6" t="s">
        <v>1009</v>
      </c>
      <c r="B215" s="6" t="s">
        <v>24</v>
      </c>
      <c r="C215" s="6">
        <v>4.7060310000000003</v>
      </c>
      <c r="D215" s="6">
        <v>27.348973000000001</v>
      </c>
      <c r="E215" s="6" t="s">
        <v>790</v>
      </c>
      <c r="F215" s="6" t="s">
        <v>797</v>
      </c>
      <c r="G215" s="7" t="str">
        <f>IFERROR(_xlfn.XLOOKUP([1]!Registre[[#This Row],[ID_Antenne]],[1]Log_Réseaux!B:B,[1]Log_Réseaux!C:C),"NA")</f>
        <v>NA</v>
      </c>
      <c r="H215" s="7" t="str">
        <f>IFERROR(_xlfn.XLOOKUP([1]!Registre[[#This Row],[ID_Antenne]],[1]Log_Réseaux!B:B,[1]Log_Réseaux!D:D),"NA")</f>
        <v>NA</v>
      </c>
    </row>
    <row r="216" spans="1:8" x14ac:dyDescent="0.25">
      <c r="A216" s="6" t="s">
        <v>1010</v>
      </c>
      <c r="B216" s="6" t="s">
        <v>156</v>
      </c>
      <c r="C216" s="6">
        <v>1.286548</v>
      </c>
      <c r="D216" s="6">
        <v>29.823702999999998</v>
      </c>
      <c r="E216" s="6" t="s">
        <v>790</v>
      </c>
      <c r="F216" s="6" t="s">
        <v>791</v>
      </c>
      <c r="G216" s="7">
        <f>IFERROR(_xlfn.XLOOKUP([1]!Registre[[#This Row],[ID_Antenne]],[1]Log_Réseaux!B:B,[1]Log_Réseaux!C:C),"NA")</f>
        <v>2</v>
      </c>
      <c r="H216" s="7">
        <f>IFERROR(_xlfn.XLOOKUP([1]!Registre[[#This Row],[ID_Antenne]],[1]Log_Réseaux!B:B,[1]Log_Réseaux!D:D),"NA")</f>
        <v>146</v>
      </c>
    </row>
    <row r="217" spans="1:8" x14ac:dyDescent="0.25">
      <c r="A217" s="6" t="s">
        <v>1011</v>
      </c>
      <c r="B217" s="6" t="s">
        <v>46</v>
      </c>
      <c r="C217" s="6">
        <v>-12.560556999999999</v>
      </c>
      <c r="D217" s="6">
        <v>13.204014000000001</v>
      </c>
      <c r="E217" s="6" t="s">
        <v>790</v>
      </c>
      <c r="F217" s="6" t="s">
        <v>802</v>
      </c>
      <c r="G217" s="7">
        <f>IFERROR(_xlfn.XLOOKUP([1]!Registre[[#This Row],[ID_Antenne]],[1]Log_Réseaux!B:B,[1]Log_Réseaux!C:C),"NA")</f>
        <v>1</v>
      </c>
      <c r="H217" s="7">
        <f>IFERROR(_xlfn.XLOOKUP([1]!Registre[[#This Row],[ID_Antenne]],[1]Log_Réseaux!B:B,[1]Log_Réseaux!D:D),"NA")</f>
        <v>9</v>
      </c>
    </row>
    <row r="218" spans="1:8" x14ac:dyDescent="0.25">
      <c r="A218" s="6" t="s">
        <v>1012</v>
      </c>
      <c r="B218" s="6" t="s">
        <v>59</v>
      </c>
      <c r="C218" s="6">
        <v>-5.0402180000000003</v>
      </c>
      <c r="D218" s="6">
        <v>13.892471</v>
      </c>
      <c r="E218" s="6" t="s">
        <v>800</v>
      </c>
      <c r="F218" s="6" t="s">
        <v>791</v>
      </c>
      <c r="G218" s="7">
        <f>IFERROR(_xlfn.XLOOKUP([1]!Registre[[#This Row],[ID_Antenne]],[1]Log_Réseaux!B:B,[1]Log_Réseaux!C:C),"NA")</f>
        <v>1</v>
      </c>
      <c r="H218" s="7">
        <f>IFERROR(_xlfn.XLOOKUP([1]!Registre[[#This Row],[ID_Antenne]],[1]Log_Réseaux!B:B,[1]Log_Réseaux!D:D),"NA")</f>
        <v>107</v>
      </c>
    </row>
    <row r="219" spans="1:8" x14ac:dyDescent="0.25">
      <c r="A219" s="6" t="s">
        <v>1013</v>
      </c>
      <c r="B219" s="6" t="s">
        <v>32</v>
      </c>
      <c r="C219" s="6">
        <v>1.8103860000000001</v>
      </c>
      <c r="D219" s="6">
        <v>15.175582</v>
      </c>
      <c r="E219" s="6" t="s">
        <v>800</v>
      </c>
      <c r="F219" s="6" t="s">
        <v>797</v>
      </c>
      <c r="G219" s="7">
        <f>IFERROR(_xlfn.XLOOKUP([1]!Registre[[#This Row],[ID_Antenne]],[1]Log_Réseaux!B:B,[1]Log_Réseaux!C:C),"NA")</f>
        <v>1</v>
      </c>
      <c r="H219" s="7">
        <f>IFERROR(_xlfn.XLOOKUP([1]!Registre[[#This Row],[ID_Antenne]],[1]Log_Réseaux!B:B,[1]Log_Réseaux!D:D),"NA")</f>
        <v>94</v>
      </c>
    </row>
    <row r="220" spans="1:8" x14ac:dyDescent="0.25">
      <c r="A220" s="6" t="s">
        <v>1014</v>
      </c>
      <c r="B220" s="6" t="s">
        <v>32</v>
      </c>
      <c r="C220" s="6">
        <v>-6.3148239999999998</v>
      </c>
      <c r="D220" s="6">
        <v>24.507498999999999</v>
      </c>
      <c r="E220" s="6" t="s">
        <v>800</v>
      </c>
      <c r="F220" s="6" t="s">
        <v>791</v>
      </c>
      <c r="G220" s="7">
        <f>IFERROR(_xlfn.XLOOKUP([1]!Registre[[#This Row],[ID_Antenne]],[1]Log_Réseaux!B:B,[1]Log_Réseaux!C:C),"NA")</f>
        <v>1</v>
      </c>
      <c r="H220" s="7">
        <f>IFERROR(_xlfn.XLOOKUP([1]!Registre[[#This Row],[ID_Antenne]],[1]Log_Réseaux!B:B,[1]Log_Réseaux!D:D),"NA")</f>
        <v>101</v>
      </c>
    </row>
    <row r="221" spans="1:8" x14ac:dyDescent="0.25">
      <c r="A221" s="6" t="s">
        <v>1015</v>
      </c>
      <c r="B221" s="6" t="s">
        <v>9</v>
      </c>
      <c r="C221" s="6">
        <v>-0.98830399999999996</v>
      </c>
      <c r="D221" s="6">
        <v>28.099966999999999</v>
      </c>
      <c r="E221" s="6" t="s">
        <v>800</v>
      </c>
      <c r="F221" s="6" t="s">
        <v>797</v>
      </c>
      <c r="G221" s="7">
        <f>IFERROR(_xlfn.XLOOKUP([1]!Registre[[#This Row],[ID_Antenne]],[1]Log_Réseaux!B:B,[1]Log_Réseaux!C:C),"NA")</f>
        <v>1</v>
      </c>
      <c r="H221" s="7">
        <f>IFERROR(_xlfn.XLOOKUP([1]!Registre[[#This Row],[ID_Antenne]],[1]Log_Réseaux!B:B,[1]Log_Réseaux!D:D),"NA")</f>
        <v>100</v>
      </c>
    </row>
    <row r="222" spans="1:8" x14ac:dyDescent="0.25">
      <c r="A222" s="6" t="s">
        <v>1016</v>
      </c>
      <c r="B222" s="6" t="s">
        <v>62</v>
      </c>
      <c r="C222" s="6">
        <v>-4.2975050000000001</v>
      </c>
      <c r="D222" s="6">
        <v>29.162555999999999</v>
      </c>
      <c r="E222" s="6" t="s">
        <v>796</v>
      </c>
      <c r="F222" s="6" t="s">
        <v>802</v>
      </c>
      <c r="G222" s="7" t="str">
        <f>IFERROR(_xlfn.XLOOKUP([1]!Registre[[#This Row],[ID_Antenne]],[1]Log_Réseaux!B:B,[1]Log_Réseaux!C:C),"NA")</f>
        <v>NA</v>
      </c>
      <c r="H222" s="7" t="str">
        <f>IFERROR(_xlfn.XLOOKUP([1]!Registre[[#This Row],[ID_Antenne]],[1]Log_Réseaux!B:B,[1]Log_Réseaux!D:D),"NA")</f>
        <v>NA</v>
      </c>
    </row>
    <row r="223" spans="1:8" x14ac:dyDescent="0.25">
      <c r="A223" s="6" t="s">
        <v>1017</v>
      </c>
      <c r="B223" s="6" t="s">
        <v>6</v>
      </c>
      <c r="C223" s="6">
        <v>-11.144149000000001</v>
      </c>
      <c r="D223" s="6">
        <v>27.244658999999999</v>
      </c>
      <c r="E223" s="6" t="s">
        <v>790</v>
      </c>
      <c r="F223" s="6" t="s">
        <v>793</v>
      </c>
      <c r="G223" s="7">
        <f>IFERROR(_xlfn.XLOOKUP([1]!Registre[[#This Row],[ID_Antenne]],[1]Log_Réseaux!B:B,[1]Log_Réseaux!C:C),"NA")</f>
        <v>2</v>
      </c>
      <c r="H223" s="7">
        <f>IFERROR(_xlfn.XLOOKUP([1]!Registre[[#This Row],[ID_Antenne]],[1]Log_Réseaux!B:B,[1]Log_Réseaux!D:D),"NA")</f>
        <v>136</v>
      </c>
    </row>
    <row r="224" spans="1:8" x14ac:dyDescent="0.25">
      <c r="A224" s="6" t="s">
        <v>1018</v>
      </c>
      <c r="B224" s="6" t="s">
        <v>18</v>
      </c>
      <c r="C224" s="6">
        <v>-9.6407190000000007</v>
      </c>
      <c r="D224" s="6">
        <v>21.336704999999998</v>
      </c>
      <c r="E224" s="6" t="s">
        <v>790</v>
      </c>
      <c r="F224" s="6" t="s">
        <v>791</v>
      </c>
      <c r="G224" s="7">
        <f>IFERROR(_xlfn.XLOOKUP([1]!Registre[[#This Row],[ID_Antenne]],[1]Log_Réseaux!B:B,[1]Log_Réseaux!C:C),"NA")</f>
        <v>1</v>
      </c>
      <c r="H224" s="7">
        <f>IFERROR(_xlfn.XLOOKUP([1]!Registre[[#This Row],[ID_Antenne]],[1]Log_Réseaux!B:B,[1]Log_Réseaux!D:D),"NA")</f>
        <v>114</v>
      </c>
    </row>
    <row r="225" spans="1:8" x14ac:dyDescent="0.25">
      <c r="A225" s="6" t="s">
        <v>1019</v>
      </c>
      <c r="B225" s="6" t="s">
        <v>32</v>
      </c>
      <c r="C225" s="6">
        <v>-8.9586360000000003</v>
      </c>
      <c r="D225" s="6">
        <v>17.157720000000001</v>
      </c>
      <c r="E225" s="6" t="s">
        <v>800</v>
      </c>
      <c r="F225" s="6" t="s">
        <v>793</v>
      </c>
      <c r="G225" s="7">
        <f>IFERROR(_xlfn.XLOOKUP([1]!Registre[[#This Row],[ID_Antenne]],[1]Log_Réseaux!B:B,[1]Log_Réseaux!C:C),"NA")</f>
        <v>1</v>
      </c>
      <c r="H225" s="7">
        <f>IFERROR(_xlfn.XLOOKUP([1]!Registre[[#This Row],[ID_Antenne]],[1]Log_Réseaux!B:B,[1]Log_Réseaux!D:D),"NA")</f>
        <v>5</v>
      </c>
    </row>
    <row r="226" spans="1:8" x14ac:dyDescent="0.25">
      <c r="A226" s="6" t="s">
        <v>1020</v>
      </c>
      <c r="B226" s="6" t="s">
        <v>38</v>
      </c>
      <c r="C226" s="6">
        <v>1.2419519999999999</v>
      </c>
      <c r="D226" s="6">
        <v>25.261382999999999</v>
      </c>
      <c r="E226" s="6" t="s">
        <v>790</v>
      </c>
      <c r="F226" s="6" t="s">
        <v>797</v>
      </c>
      <c r="G226" s="7">
        <f>IFERROR(_xlfn.XLOOKUP([1]!Registre[[#This Row],[ID_Antenne]],[1]Log_Réseaux!B:B,[1]Log_Réseaux!C:C),"NA")</f>
        <v>2</v>
      </c>
      <c r="H226" s="7">
        <f>IFERROR(_xlfn.XLOOKUP([1]!Registre[[#This Row],[ID_Antenne]],[1]Log_Réseaux!B:B,[1]Log_Réseaux!D:D),"NA")</f>
        <v>85</v>
      </c>
    </row>
    <row r="227" spans="1:8" x14ac:dyDescent="0.25">
      <c r="A227" s="6" t="s">
        <v>1021</v>
      </c>
      <c r="B227" s="6" t="s">
        <v>40</v>
      </c>
      <c r="C227" s="6">
        <v>-8.4403710000000007</v>
      </c>
      <c r="D227" s="6">
        <v>17.231165000000001</v>
      </c>
      <c r="E227" s="6" t="s">
        <v>790</v>
      </c>
      <c r="F227" s="6" t="s">
        <v>797</v>
      </c>
      <c r="G227" s="7" t="str">
        <f>IFERROR(_xlfn.XLOOKUP([1]!Registre[[#This Row],[ID_Antenne]],[1]Log_Réseaux!B:B,[1]Log_Réseaux!C:C),"NA")</f>
        <v>NA</v>
      </c>
      <c r="H227" s="7" t="str">
        <f>IFERROR(_xlfn.XLOOKUP([1]!Registre[[#This Row],[ID_Antenne]],[1]Log_Réseaux!B:B,[1]Log_Réseaux!D:D),"NA")</f>
        <v>NA</v>
      </c>
    </row>
    <row r="228" spans="1:8" x14ac:dyDescent="0.25">
      <c r="A228" s="6" t="s">
        <v>1022</v>
      </c>
      <c r="B228" s="6" t="s">
        <v>15</v>
      </c>
      <c r="C228" s="6">
        <v>-9.5840350000000001</v>
      </c>
      <c r="D228" s="6">
        <v>15.966024000000001</v>
      </c>
      <c r="E228" s="6" t="s">
        <v>796</v>
      </c>
      <c r="F228" s="6" t="s">
        <v>793</v>
      </c>
      <c r="G228" s="7">
        <f>IFERROR(_xlfn.XLOOKUP([1]!Registre[[#This Row],[ID_Antenne]],[1]Log_Réseaux!B:B,[1]Log_Réseaux!C:C),"NA")</f>
        <v>1</v>
      </c>
      <c r="H228" s="7">
        <f>IFERROR(_xlfn.XLOOKUP([1]!Registre[[#This Row],[ID_Antenne]],[1]Log_Réseaux!B:B,[1]Log_Réseaux!D:D),"NA")</f>
        <v>99</v>
      </c>
    </row>
    <row r="229" spans="1:8" x14ac:dyDescent="0.25">
      <c r="A229" s="6" t="s">
        <v>1023</v>
      </c>
      <c r="B229" s="6" t="s">
        <v>6</v>
      </c>
      <c r="C229" s="6">
        <v>-8.290025</v>
      </c>
      <c r="D229" s="6">
        <v>24.313573999999999</v>
      </c>
      <c r="E229" s="6" t="s">
        <v>790</v>
      </c>
      <c r="F229" s="6" t="s">
        <v>802</v>
      </c>
      <c r="G229" s="7" t="str">
        <f>IFERROR(_xlfn.XLOOKUP([1]!Registre[[#This Row],[ID_Antenne]],[1]Log_Réseaux!B:B,[1]Log_Réseaux!C:C),"NA")</f>
        <v>NA</v>
      </c>
      <c r="H229" s="7" t="str">
        <f>IFERROR(_xlfn.XLOOKUP([1]!Registre[[#This Row],[ID_Antenne]],[1]Log_Réseaux!B:B,[1]Log_Réseaux!D:D),"NA")</f>
        <v>NA</v>
      </c>
    </row>
    <row r="230" spans="1:8" x14ac:dyDescent="0.25">
      <c r="A230" s="6" t="s">
        <v>1024</v>
      </c>
      <c r="B230" s="6" t="s">
        <v>34</v>
      </c>
      <c r="C230" s="6">
        <v>-7.4135429999999998</v>
      </c>
      <c r="D230" s="6">
        <v>19.288392999999999</v>
      </c>
      <c r="E230" s="6" t="s">
        <v>790</v>
      </c>
      <c r="F230" s="6" t="s">
        <v>793</v>
      </c>
      <c r="G230" s="7" t="str">
        <f>IFERROR(_xlfn.XLOOKUP([1]!Registre[[#This Row],[ID_Antenne]],[1]Log_Réseaux!B:B,[1]Log_Réseaux!C:C),"NA")</f>
        <v>NA</v>
      </c>
      <c r="H230" s="7" t="str">
        <f>IFERROR(_xlfn.XLOOKUP([1]!Registre[[#This Row],[ID_Antenne]],[1]Log_Réseaux!B:B,[1]Log_Réseaux!D:D),"NA")</f>
        <v>NA</v>
      </c>
    </row>
    <row r="231" spans="1:8" x14ac:dyDescent="0.25">
      <c r="A231" s="6" t="s">
        <v>1025</v>
      </c>
      <c r="B231" s="6" t="s">
        <v>34</v>
      </c>
      <c r="C231" s="6">
        <v>-7.8770429999999996</v>
      </c>
      <c r="D231" s="6">
        <v>16.357762999999998</v>
      </c>
      <c r="E231" s="6" t="s">
        <v>790</v>
      </c>
      <c r="F231" s="6" t="s">
        <v>802</v>
      </c>
      <c r="G231" s="7">
        <f>IFERROR(_xlfn.XLOOKUP([1]!Registre[[#This Row],[ID_Antenne]],[1]Log_Réseaux!B:B,[1]Log_Réseaux!C:C),"NA")</f>
        <v>1</v>
      </c>
      <c r="H231" s="7">
        <f>IFERROR(_xlfn.XLOOKUP([1]!Registre[[#This Row],[ID_Antenne]],[1]Log_Réseaux!B:B,[1]Log_Réseaux!D:D),"NA")</f>
        <v>53</v>
      </c>
    </row>
    <row r="232" spans="1:8" x14ac:dyDescent="0.25">
      <c r="A232" s="6" t="s">
        <v>1026</v>
      </c>
      <c r="B232" s="6" t="s">
        <v>46</v>
      </c>
      <c r="C232" s="6">
        <v>-3.111418</v>
      </c>
      <c r="D232" s="6">
        <v>14.144854</v>
      </c>
      <c r="E232" s="6" t="s">
        <v>790</v>
      </c>
      <c r="F232" s="6" t="s">
        <v>791</v>
      </c>
      <c r="G232" s="7">
        <f>IFERROR(_xlfn.XLOOKUP([1]!Registre[[#This Row],[ID_Antenne]],[1]Log_Réseaux!B:B,[1]Log_Réseaux!C:C),"NA")</f>
        <v>3</v>
      </c>
      <c r="H232" s="7">
        <f>IFERROR(_xlfn.XLOOKUP([1]!Registre[[#This Row],[ID_Antenne]],[1]Log_Réseaux!B:B,[1]Log_Réseaux!D:D),"NA")</f>
        <v>152</v>
      </c>
    </row>
    <row r="233" spans="1:8" x14ac:dyDescent="0.25">
      <c r="A233" s="6" t="s">
        <v>1027</v>
      </c>
      <c r="B233" s="6" t="s">
        <v>40</v>
      </c>
      <c r="C233" s="6">
        <v>0.20866199999999999</v>
      </c>
      <c r="D233" s="6">
        <v>18.556439000000001</v>
      </c>
      <c r="E233" s="6" t="s">
        <v>790</v>
      </c>
      <c r="F233" s="6" t="s">
        <v>793</v>
      </c>
      <c r="G233" s="7">
        <f>IFERROR(_xlfn.XLOOKUP([1]!Registre[[#This Row],[ID_Antenne]],[1]Log_Réseaux!B:B,[1]Log_Réseaux!C:C),"NA")</f>
        <v>1</v>
      </c>
      <c r="H233" s="7">
        <f>IFERROR(_xlfn.XLOOKUP([1]!Registre[[#This Row],[ID_Antenne]],[1]Log_Réseaux!B:B,[1]Log_Réseaux!D:D),"NA")</f>
        <v>37</v>
      </c>
    </row>
    <row r="234" spans="1:8" x14ac:dyDescent="0.25">
      <c r="A234" s="6" t="s">
        <v>1028</v>
      </c>
      <c r="B234" s="6" t="s">
        <v>30</v>
      </c>
      <c r="C234" s="6">
        <v>-10.962911</v>
      </c>
      <c r="D234" s="6">
        <v>28.771355</v>
      </c>
      <c r="E234" s="6" t="s">
        <v>796</v>
      </c>
      <c r="F234" s="6" t="s">
        <v>797</v>
      </c>
      <c r="G234" s="7" t="str">
        <f>IFERROR(_xlfn.XLOOKUP([1]!Registre[[#This Row],[ID_Antenne]],[1]Log_Réseaux!B:B,[1]Log_Réseaux!C:C),"NA")</f>
        <v>NA</v>
      </c>
      <c r="H234" s="7" t="str">
        <f>IFERROR(_xlfn.XLOOKUP([1]!Registre[[#This Row],[ID_Antenne]],[1]Log_Réseaux!B:B,[1]Log_Réseaux!D:D),"NA")</f>
        <v>NA</v>
      </c>
    </row>
    <row r="235" spans="1:8" x14ac:dyDescent="0.25">
      <c r="A235" s="6" t="s">
        <v>1029</v>
      </c>
      <c r="B235" s="6" t="s">
        <v>15</v>
      </c>
      <c r="C235" s="6">
        <v>-12.564277000000001</v>
      </c>
      <c r="D235" s="6">
        <v>28.480798</v>
      </c>
      <c r="E235" s="6" t="s">
        <v>796</v>
      </c>
      <c r="F235" s="6" t="s">
        <v>791</v>
      </c>
      <c r="G235" s="7">
        <f>IFERROR(_xlfn.XLOOKUP([1]!Registre[[#This Row],[ID_Antenne]],[1]Log_Réseaux!B:B,[1]Log_Réseaux!C:C),"NA")</f>
        <v>2</v>
      </c>
      <c r="H235" s="7">
        <f>IFERROR(_xlfn.XLOOKUP([1]!Registre[[#This Row],[ID_Antenne]],[1]Log_Réseaux!B:B,[1]Log_Réseaux!D:D),"NA")</f>
        <v>144</v>
      </c>
    </row>
    <row r="236" spans="1:8" x14ac:dyDescent="0.25">
      <c r="A236" s="6" t="s">
        <v>1030</v>
      </c>
      <c r="B236" s="6" t="s">
        <v>30</v>
      </c>
      <c r="C236" s="6">
        <v>-4.1938139999999997</v>
      </c>
      <c r="D236" s="6">
        <v>27.892115</v>
      </c>
      <c r="E236" s="6" t="s">
        <v>796</v>
      </c>
      <c r="F236" s="6" t="s">
        <v>802</v>
      </c>
      <c r="G236" s="7" t="str">
        <f>IFERROR(_xlfn.XLOOKUP([1]!Registre[[#This Row],[ID_Antenne]],[1]Log_Réseaux!B:B,[1]Log_Réseaux!C:C),"NA")</f>
        <v>NA</v>
      </c>
      <c r="H236" s="7" t="str">
        <f>IFERROR(_xlfn.XLOOKUP([1]!Registre[[#This Row],[ID_Antenne]],[1]Log_Réseaux!B:B,[1]Log_Réseaux!D:D),"NA")</f>
        <v>NA</v>
      </c>
    </row>
    <row r="237" spans="1:8" x14ac:dyDescent="0.25">
      <c r="A237" s="6" t="s">
        <v>1031</v>
      </c>
      <c r="B237" s="6" t="s">
        <v>18</v>
      </c>
      <c r="C237" s="6">
        <v>-0.37609300000000001</v>
      </c>
      <c r="D237" s="6">
        <v>21.940809999999999</v>
      </c>
      <c r="E237" s="6" t="s">
        <v>796</v>
      </c>
      <c r="F237" s="6" t="s">
        <v>797</v>
      </c>
      <c r="G237" s="7" t="str">
        <f>IFERROR(_xlfn.XLOOKUP([1]!Registre[[#This Row],[ID_Antenne]],[1]Log_Réseaux!B:B,[1]Log_Réseaux!C:C),"NA")</f>
        <v>NA</v>
      </c>
      <c r="H237" s="7" t="str">
        <f>IFERROR(_xlfn.XLOOKUP([1]!Registre[[#This Row],[ID_Antenne]],[1]Log_Réseaux!B:B,[1]Log_Réseaux!D:D),"NA")</f>
        <v>NA</v>
      </c>
    </row>
    <row r="238" spans="1:8" x14ac:dyDescent="0.25">
      <c r="A238" s="6" t="s">
        <v>1032</v>
      </c>
      <c r="B238" s="6" t="s">
        <v>12</v>
      </c>
      <c r="C238" s="6">
        <v>-7.2267089999999996</v>
      </c>
      <c r="D238" s="6">
        <v>28.421362999999999</v>
      </c>
      <c r="E238" s="6" t="s">
        <v>796</v>
      </c>
      <c r="F238" s="6" t="s">
        <v>802</v>
      </c>
      <c r="G238" s="7">
        <f>IFERROR(_xlfn.XLOOKUP([1]!Registre[[#This Row],[ID_Antenne]],[1]Log_Réseaux!B:B,[1]Log_Réseaux!C:C),"NA")</f>
        <v>1</v>
      </c>
      <c r="H238" s="7">
        <f>IFERROR(_xlfn.XLOOKUP([1]!Registre[[#This Row],[ID_Antenne]],[1]Log_Réseaux!B:B,[1]Log_Réseaux!D:D),"NA")</f>
        <v>120</v>
      </c>
    </row>
    <row r="239" spans="1:8" x14ac:dyDescent="0.25">
      <c r="A239" s="6" t="s">
        <v>1033</v>
      </c>
      <c r="B239" s="6" t="s">
        <v>156</v>
      </c>
      <c r="C239" s="6">
        <v>1.194113</v>
      </c>
      <c r="D239" s="6">
        <v>15.839502</v>
      </c>
      <c r="E239" s="6" t="s">
        <v>800</v>
      </c>
      <c r="F239" s="6" t="s">
        <v>797</v>
      </c>
      <c r="G239" s="7" t="str">
        <f>IFERROR(_xlfn.XLOOKUP([1]!Registre[[#This Row],[ID_Antenne]],[1]Log_Réseaux!B:B,[1]Log_Réseaux!C:C),"NA")</f>
        <v>NA</v>
      </c>
      <c r="H239" s="7" t="str">
        <f>IFERROR(_xlfn.XLOOKUP([1]!Registre[[#This Row],[ID_Antenne]],[1]Log_Réseaux!B:B,[1]Log_Réseaux!D:D),"NA")</f>
        <v>NA</v>
      </c>
    </row>
    <row r="240" spans="1:8" x14ac:dyDescent="0.25">
      <c r="A240" s="6" t="s">
        <v>1034</v>
      </c>
      <c r="B240" s="6" t="s">
        <v>40</v>
      </c>
      <c r="C240" s="6">
        <v>-1.8045979999999999</v>
      </c>
      <c r="D240" s="6">
        <v>12.511096999999999</v>
      </c>
      <c r="E240" s="6" t="s">
        <v>800</v>
      </c>
      <c r="F240" s="6" t="s">
        <v>797</v>
      </c>
      <c r="G240" s="7">
        <f>IFERROR(_xlfn.XLOOKUP([1]!Registre[[#This Row],[ID_Antenne]],[1]Log_Réseaux!B:B,[1]Log_Réseaux!C:C),"NA")</f>
        <v>4</v>
      </c>
      <c r="H240" s="7">
        <f>IFERROR(_xlfn.XLOOKUP([1]!Registre[[#This Row],[ID_Antenne]],[1]Log_Réseaux!B:B,[1]Log_Réseaux!D:D),"NA")</f>
        <v>211</v>
      </c>
    </row>
    <row r="241" spans="1:8" x14ac:dyDescent="0.25">
      <c r="A241" s="6" t="s">
        <v>1035</v>
      </c>
      <c r="B241" s="6" t="s">
        <v>38</v>
      </c>
      <c r="C241" s="6">
        <v>-11.207139</v>
      </c>
      <c r="D241" s="6">
        <v>18.702511999999999</v>
      </c>
      <c r="E241" s="6" t="s">
        <v>796</v>
      </c>
      <c r="F241" s="6" t="s">
        <v>802</v>
      </c>
      <c r="G241" s="7">
        <f>IFERROR(_xlfn.XLOOKUP([1]!Registre[[#This Row],[ID_Antenne]],[1]Log_Réseaux!B:B,[1]Log_Réseaux!C:C),"NA")</f>
        <v>1</v>
      </c>
      <c r="H241" s="7">
        <f>IFERROR(_xlfn.XLOOKUP([1]!Registre[[#This Row],[ID_Antenne]],[1]Log_Réseaux!B:B,[1]Log_Réseaux!D:D),"NA")</f>
        <v>106</v>
      </c>
    </row>
    <row r="242" spans="1:8" x14ac:dyDescent="0.25">
      <c r="A242" s="6" t="s">
        <v>1036</v>
      </c>
      <c r="B242" s="6" t="s">
        <v>22</v>
      </c>
      <c r="C242" s="6">
        <v>0.45116099999999998</v>
      </c>
      <c r="D242" s="6">
        <v>17.265761000000001</v>
      </c>
      <c r="E242" s="6" t="s">
        <v>790</v>
      </c>
      <c r="F242" s="6" t="s">
        <v>797</v>
      </c>
      <c r="G242" s="7">
        <f>IFERROR(_xlfn.XLOOKUP([1]!Registre[[#This Row],[ID_Antenne]],[1]Log_Réseaux!B:B,[1]Log_Réseaux!C:C),"NA")</f>
        <v>1</v>
      </c>
      <c r="H242" s="7">
        <f>IFERROR(_xlfn.XLOOKUP([1]!Registre[[#This Row],[ID_Antenne]],[1]Log_Réseaux!B:B,[1]Log_Réseaux!D:D),"NA")</f>
        <v>20</v>
      </c>
    </row>
    <row r="243" spans="1:8" x14ac:dyDescent="0.25">
      <c r="A243" s="6" t="s">
        <v>1037</v>
      </c>
      <c r="B243" s="6" t="s">
        <v>18</v>
      </c>
      <c r="C243" s="6">
        <v>1.210869</v>
      </c>
      <c r="D243" s="6">
        <v>25.598741</v>
      </c>
      <c r="E243" s="6" t="s">
        <v>790</v>
      </c>
      <c r="F243" s="6" t="s">
        <v>802</v>
      </c>
      <c r="G243" s="7">
        <f>IFERROR(_xlfn.XLOOKUP([1]!Registre[[#This Row],[ID_Antenne]],[1]Log_Réseaux!B:B,[1]Log_Réseaux!C:C),"NA")</f>
        <v>3</v>
      </c>
      <c r="H243" s="7">
        <f>IFERROR(_xlfn.XLOOKUP([1]!Registre[[#This Row],[ID_Antenne]],[1]Log_Réseaux!B:B,[1]Log_Réseaux!D:D),"NA")</f>
        <v>106</v>
      </c>
    </row>
    <row r="244" spans="1:8" x14ac:dyDescent="0.25">
      <c r="A244" s="6" t="s">
        <v>1038</v>
      </c>
      <c r="B244" s="6" t="s">
        <v>6</v>
      </c>
      <c r="C244" s="6">
        <v>-1.50664</v>
      </c>
      <c r="D244" s="6">
        <v>27.795642000000001</v>
      </c>
      <c r="E244" s="6" t="s">
        <v>796</v>
      </c>
      <c r="F244" s="6" t="s">
        <v>791</v>
      </c>
      <c r="G244" s="7">
        <f>IFERROR(_xlfn.XLOOKUP([1]!Registre[[#This Row],[ID_Antenne]],[1]Log_Réseaux!B:B,[1]Log_Réseaux!C:C),"NA")</f>
        <v>1</v>
      </c>
      <c r="H244" s="7">
        <f>IFERROR(_xlfn.XLOOKUP([1]!Registre[[#This Row],[ID_Antenne]],[1]Log_Réseaux!B:B,[1]Log_Réseaux!D:D),"NA")</f>
        <v>107</v>
      </c>
    </row>
    <row r="245" spans="1:8" x14ac:dyDescent="0.25">
      <c r="A245" s="6" t="s">
        <v>1039</v>
      </c>
      <c r="B245" s="6" t="s">
        <v>156</v>
      </c>
      <c r="C245" s="6">
        <v>-10.967288</v>
      </c>
      <c r="D245" s="6">
        <v>17.617781000000001</v>
      </c>
      <c r="E245" s="6" t="s">
        <v>790</v>
      </c>
      <c r="F245" s="6" t="s">
        <v>802</v>
      </c>
      <c r="G245" s="7">
        <f>IFERROR(_xlfn.XLOOKUP([1]!Registre[[#This Row],[ID_Antenne]],[1]Log_Réseaux!B:B,[1]Log_Réseaux!C:C),"NA")</f>
        <v>3</v>
      </c>
      <c r="H245" s="7">
        <f>IFERROR(_xlfn.XLOOKUP([1]!Registre[[#This Row],[ID_Antenne]],[1]Log_Réseaux!B:B,[1]Log_Réseaux!D:D),"NA")</f>
        <v>133</v>
      </c>
    </row>
    <row r="246" spans="1:8" x14ac:dyDescent="0.25">
      <c r="A246" s="6" t="s">
        <v>1040</v>
      </c>
      <c r="B246" s="6" t="s">
        <v>44</v>
      </c>
      <c r="C246" s="6">
        <v>-9.9170499999999997</v>
      </c>
      <c r="D246" s="6">
        <v>22.918887000000002</v>
      </c>
      <c r="E246" s="6" t="s">
        <v>790</v>
      </c>
      <c r="F246" s="6" t="s">
        <v>797</v>
      </c>
      <c r="G246" s="7" t="str">
        <f>IFERROR(_xlfn.XLOOKUP([1]!Registre[[#This Row],[ID_Antenne]],[1]Log_Réseaux!B:B,[1]Log_Réseaux!C:C),"NA")</f>
        <v>NA</v>
      </c>
      <c r="H246" s="7" t="str">
        <f>IFERROR(_xlfn.XLOOKUP([1]!Registre[[#This Row],[ID_Antenne]],[1]Log_Réseaux!B:B,[1]Log_Réseaux!D:D),"NA")</f>
        <v>NA</v>
      </c>
    </row>
    <row r="247" spans="1:8" x14ac:dyDescent="0.25">
      <c r="A247" s="6" t="s">
        <v>1041</v>
      </c>
      <c r="B247" s="6" t="s">
        <v>105</v>
      </c>
      <c r="C247" s="6">
        <v>-8.0922239999999999</v>
      </c>
      <c r="D247" s="6">
        <v>15.483708</v>
      </c>
      <c r="E247" s="6" t="s">
        <v>796</v>
      </c>
      <c r="F247" s="6" t="s">
        <v>793</v>
      </c>
      <c r="G247" s="7">
        <f>IFERROR(_xlfn.XLOOKUP([1]!Registre[[#This Row],[ID_Antenne]],[1]Log_Réseaux!B:B,[1]Log_Réseaux!C:C),"NA")</f>
        <v>1</v>
      </c>
      <c r="H247" s="7">
        <f>IFERROR(_xlfn.XLOOKUP([1]!Registre[[#This Row],[ID_Antenne]],[1]Log_Réseaux!B:B,[1]Log_Réseaux!D:D),"NA")</f>
        <v>23</v>
      </c>
    </row>
    <row r="248" spans="1:8" x14ac:dyDescent="0.25">
      <c r="A248" s="6" t="s">
        <v>1042</v>
      </c>
      <c r="B248" s="6" t="s">
        <v>62</v>
      </c>
      <c r="C248" s="6">
        <v>-6.236097</v>
      </c>
      <c r="D248" s="6">
        <v>13.004878</v>
      </c>
      <c r="E248" s="6" t="s">
        <v>790</v>
      </c>
      <c r="F248" s="6" t="s">
        <v>802</v>
      </c>
      <c r="G248" s="7" t="str">
        <f>IFERROR(_xlfn.XLOOKUP([1]!Registre[[#This Row],[ID_Antenne]],[1]Log_Réseaux!B:B,[1]Log_Réseaux!C:C),"NA")</f>
        <v>NA</v>
      </c>
      <c r="H248" s="7" t="str">
        <f>IFERROR(_xlfn.XLOOKUP([1]!Registre[[#This Row],[ID_Antenne]],[1]Log_Réseaux!B:B,[1]Log_Réseaux!D:D),"NA")</f>
        <v>NA</v>
      </c>
    </row>
    <row r="249" spans="1:8" x14ac:dyDescent="0.25">
      <c r="A249" s="6" t="s">
        <v>1043</v>
      </c>
      <c r="B249" s="6" t="s">
        <v>34</v>
      </c>
      <c r="C249" s="6">
        <v>-8.4227860000000003</v>
      </c>
      <c r="D249" s="6">
        <v>16.781293000000002</v>
      </c>
      <c r="E249" s="6" t="s">
        <v>790</v>
      </c>
      <c r="F249" s="6" t="s">
        <v>797</v>
      </c>
      <c r="G249" s="7">
        <f>IFERROR(_xlfn.XLOOKUP([1]!Registre[[#This Row],[ID_Antenne]],[1]Log_Réseaux!B:B,[1]Log_Réseaux!C:C),"NA")</f>
        <v>2</v>
      </c>
      <c r="H249" s="7">
        <f>IFERROR(_xlfn.XLOOKUP([1]!Registre[[#This Row],[ID_Antenne]],[1]Log_Réseaux!B:B,[1]Log_Réseaux!D:D),"NA")</f>
        <v>155</v>
      </c>
    </row>
    <row r="250" spans="1:8" x14ac:dyDescent="0.25">
      <c r="A250" s="6" t="s">
        <v>1044</v>
      </c>
      <c r="B250" s="6" t="s">
        <v>28</v>
      </c>
      <c r="C250" s="6">
        <v>-10.318835</v>
      </c>
      <c r="D250" s="6">
        <v>21.252382000000001</v>
      </c>
      <c r="E250" s="6" t="s">
        <v>790</v>
      </c>
      <c r="F250" s="6" t="s">
        <v>802</v>
      </c>
      <c r="G250" s="7">
        <f>IFERROR(_xlfn.XLOOKUP([1]!Registre[[#This Row],[ID_Antenne]],[1]Log_Réseaux!B:B,[1]Log_Réseaux!C:C),"NA")</f>
        <v>1</v>
      </c>
      <c r="H250" s="7">
        <f>IFERROR(_xlfn.XLOOKUP([1]!Registre[[#This Row],[ID_Antenne]],[1]Log_Réseaux!B:B,[1]Log_Réseaux!D:D),"NA")</f>
        <v>33</v>
      </c>
    </row>
    <row r="251" spans="1:8" x14ac:dyDescent="0.25">
      <c r="A251" s="6" t="s">
        <v>1045</v>
      </c>
      <c r="B251" s="6" t="s">
        <v>44</v>
      </c>
      <c r="C251" s="6">
        <v>-9.4229749999999992</v>
      </c>
      <c r="D251" s="6">
        <v>29.375005999999999</v>
      </c>
      <c r="E251" s="6" t="s">
        <v>800</v>
      </c>
      <c r="F251" s="6" t="s">
        <v>802</v>
      </c>
      <c r="G251" s="7">
        <f>IFERROR(_xlfn.XLOOKUP([1]!Registre[[#This Row],[ID_Antenne]],[1]Log_Réseaux!B:B,[1]Log_Réseaux!C:C),"NA")</f>
        <v>1</v>
      </c>
      <c r="H251" s="7">
        <f>IFERROR(_xlfn.XLOOKUP([1]!Registre[[#This Row],[ID_Antenne]],[1]Log_Réseaux!B:B,[1]Log_Réseaux!D:D),"NA")</f>
        <v>78</v>
      </c>
    </row>
    <row r="252" spans="1:8" x14ac:dyDescent="0.25">
      <c r="A252" s="6" t="s">
        <v>1046</v>
      </c>
      <c r="B252" s="6" t="s">
        <v>9</v>
      </c>
      <c r="C252" s="6">
        <v>-7.402336</v>
      </c>
      <c r="D252" s="6">
        <v>27.376697</v>
      </c>
      <c r="E252" s="6" t="s">
        <v>790</v>
      </c>
      <c r="F252" s="6" t="s">
        <v>797</v>
      </c>
      <c r="G252" s="7">
        <f>IFERROR(_xlfn.XLOOKUP([1]!Registre[[#This Row],[ID_Antenne]],[1]Log_Réseaux!B:B,[1]Log_Réseaux!C:C),"NA")</f>
        <v>3</v>
      </c>
      <c r="H252" s="7">
        <f>IFERROR(_xlfn.XLOOKUP([1]!Registre[[#This Row],[ID_Antenne]],[1]Log_Réseaux!B:B,[1]Log_Réseaux!D:D),"NA")</f>
        <v>127</v>
      </c>
    </row>
    <row r="253" spans="1:8" x14ac:dyDescent="0.25">
      <c r="A253" s="6" t="s">
        <v>1047</v>
      </c>
      <c r="B253" s="6" t="s">
        <v>12</v>
      </c>
      <c r="C253" s="6">
        <v>-6.9254999999999997E-2</v>
      </c>
      <c r="D253" s="6">
        <v>28.222756</v>
      </c>
      <c r="E253" s="6" t="s">
        <v>796</v>
      </c>
      <c r="F253" s="6" t="s">
        <v>797</v>
      </c>
      <c r="G253" s="7" t="str">
        <f>IFERROR(_xlfn.XLOOKUP([1]!Registre[[#This Row],[ID_Antenne]],[1]Log_Réseaux!B:B,[1]Log_Réseaux!C:C),"NA")</f>
        <v>NA</v>
      </c>
      <c r="H253" s="7" t="str">
        <f>IFERROR(_xlfn.XLOOKUP([1]!Registre[[#This Row],[ID_Antenne]],[1]Log_Réseaux!B:B,[1]Log_Réseaux!D:D),"NA")</f>
        <v>NA</v>
      </c>
    </row>
    <row r="254" spans="1:8" x14ac:dyDescent="0.25">
      <c r="A254" s="6" t="s">
        <v>1048</v>
      </c>
      <c r="B254" s="6" t="s">
        <v>65</v>
      </c>
      <c r="C254" s="6">
        <v>-9.4133639999999996</v>
      </c>
      <c r="D254" s="6">
        <v>15.682482</v>
      </c>
      <c r="E254" s="6" t="s">
        <v>790</v>
      </c>
      <c r="F254" s="6" t="s">
        <v>797</v>
      </c>
      <c r="G254" s="7">
        <f>IFERROR(_xlfn.XLOOKUP([1]!Registre[[#This Row],[ID_Antenne]],[1]Log_Réseaux!B:B,[1]Log_Réseaux!C:C),"NA")</f>
        <v>1</v>
      </c>
      <c r="H254" s="7">
        <f>IFERROR(_xlfn.XLOOKUP([1]!Registre[[#This Row],[ID_Antenne]],[1]Log_Réseaux!B:B,[1]Log_Réseaux!D:D),"NA")</f>
        <v>60</v>
      </c>
    </row>
    <row r="255" spans="1:8" x14ac:dyDescent="0.25">
      <c r="A255" s="6" t="s">
        <v>1049</v>
      </c>
      <c r="B255" s="6" t="s">
        <v>46</v>
      </c>
      <c r="C255" s="6">
        <v>-4.4451280000000004</v>
      </c>
      <c r="D255" s="6">
        <v>16.536944999999999</v>
      </c>
      <c r="E255" s="6" t="s">
        <v>790</v>
      </c>
      <c r="F255" s="6" t="s">
        <v>802</v>
      </c>
      <c r="G255" s="7">
        <f>IFERROR(_xlfn.XLOOKUP([1]!Registre[[#This Row],[ID_Antenne]],[1]Log_Réseaux!B:B,[1]Log_Réseaux!C:C),"NA")</f>
        <v>2</v>
      </c>
      <c r="H255" s="7">
        <f>IFERROR(_xlfn.XLOOKUP([1]!Registre[[#This Row],[ID_Antenne]],[1]Log_Réseaux!B:B,[1]Log_Réseaux!D:D),"NA")</f>
        <v>209</v>
      </c>
    </row>
    <row r="256" spans="1:8" x14ac:dyDescent="0.25">
      <c r="A256" s="6" t="s">
        <v>1050</v>
      </c>
      <c r="B256" s="6" t="s">
        <v>12</v>
      </c>
      <c r="C256" s="6">
        <v>3.6344850000000002</v>
      </c>
      <c r="D256" s="6">
        <v>12.158348999999999</v>
      </c>
      <c r="E256" s="6" t="s">
        <v>796</v>
      </c>
      <c r="F256" s="6" t="s">
        <v>802</v>
      </c>
      <c r="G256" s="7">
        <f>IFERROR(_xlfn.XLOOKUP([1]!Registre[[#This Row],[ID_Antenne]],[1]Log_Réseaux!B:B,[1]Log_Réseaux!C:C),"NA")</f>
        <v>1</v>
      </c>
      <c r="H256" s="7">
        <f>IFERROR(_xlfn.XLOOKUP([1]!Registre[[#This Row],[ID_Antenne]],[1]Log_Réseaux!B:B,[1]Log_Réseaux!D:D),"NA")</f>
        <v>62</v>
      </c>
    </row>
    <row r="257" spans="1:8" x14ac:dyDescent="0.25">
      <c r="A257" s="6" t="s">
        <v>1051</v>
      </c>
      <c r="B257" s="6" t="s">
        <v>9</v>
      </c>
      <c r="C257" s="6">
        <v>-8.5675749999999997</v>
      </c>
      <c r="D257" s="6">
        <v>26.994581</v>
      </c>
      <c r="E257" s="6" t="s">
        <v>800</v>
      </c>
      <c r="F257" s="6" t="s">
        <v>793</v>
      </c>
      <c r="G257" s="7">
        <f>IFERROR(_xlfn.XLOOKUP([1]!Registre[[#This Row],[ID_Antenne]],[1]Log_Réseaux!B:B,[1]Log_Réseaux!C:C),"NA")</f>
        <v>3</v>
      </c>
      <c r="H257" s="7">
        <f>IFERROR(_xlfn.XLOOKUP([1]!Registre[[#This Row],[ID_Antenne]],[1]Log_Réseaux!B:B,[1]Log_Réseaux!D:D),"NA")</f>
        <v>183</v>
      </c>
    </row>
    <row r="258" spans="1:8" x14ac:dyDescent="0.25">
      <c r="A258" s="6" t="s">
        <v>1052</v>
      </c>
      <c r="B258" s="6" t="s">
        <v>28</v>
      </c>
      <c r="C258" s="6">
        <v>-4.2645619999999997</v>
      </c>
      <c r="D258" s="6">
        <v>18.960726000000001</v>
      </c>
      <c r="E258" s="6" t="s">
        <v>790</v>
      </c>
      <c r="F258" s="6" t="s">
        <v>797</v>
      </c>
      <c r="G258" s="7">
        <f>IFERROR(_xlfn.XLOOKUP([1]!Registre[[#This Row],[ID_Antenne]],[1]Log_Réseaux!B:B,[1]Log_Réseaux!C:C),"NA")</f>
        <v>2</v>
      </c>
      <c r="H258" s="7">
        <f>IFERROR(_xlfn.XLOOKUP([1]!Registre[[#This Row],[ID_Antenne]],[1]Log_Réseaux!B:B,[1]Log_Réseaux!D:D),"NA")</f>
        <v>145</v>
      </c>
    </row>
    <row r="259" spans="1:8" x14ac:dyDescent="0.25">
      <c r="A259" s="6" t="s">
        <v>1053</v>
      </c>
      <c r="B259" s="6" t="s">
        <v>34</v>
      </c>
      <c r="C259" s="6">
        <v>4.8265669999999998</v>
      </c>
      <c r="D259" s="6">
        <v>28.535277000000001</v>
      </c>
      <c r="E259" s="6" t="s">
        <v>800</v>
      </c>
      <c r="F259" s="6" t="s">
        <v>797</v>
      </c>
      <c r="G259" s="7">
        <f>IFERROR(_xlfn.XLOOKUP([1]!Registre[[#This Row],[ID_Antenne]],[1]Log_Réseaux!B:B,[1]Log_Réseaux!C:C),"NA")</f>
        <v>2</v>
      </c>
      <c r="H259" s="7">
        <f>IFERROR(_xlfn.XLOOKUP([1]!Registre[[#This Row],[ID_Antenne]],[1]Log_Réseaux!B:B,[1]Log_Réseaux!D:D),"NA")</f>
        <v>162</v>
      </c>
    </row>
    <row r="260" spans="1:8" x14ac:dyDescent="0.25">
      <c r="A260" s="6" t="s">
        <v>1054</v>
      </c>
      <c r="B260" s="6" t="s">
        <v>6</v>
      </c>
      <c r="C260" s="6">
        <v>-9.002459</v>
      </c>
      <c r="D260" s="6">
        <v>25.182109000000001</v>
      </c>
      <c r="E260" s="6" t="s">
        <v>796</v>
      </c>
      <c r="F260" s="6" t="s">
        <v>797</v>
      </c>
      <c r="G260" s="7">
        <f>IFERROR(_xlfn.XLOOKUP([1]!Registre[[#This Row],[ID_Antenne]],[1]Log_Réseaux!B:B,[1]Log_Réseaux!C:C),"NA")</f>
        <v>2</v>
      </c>
      <c r="H260" s="7">
        <f>IFERROR(_xlfn.XLOOKUP([1]!Registre[[#This Row],[ID_Antenne]],[1]Log_Réseaux!B:B,[1]Log_Réseaux!D:D),"NA")</f>
        <v>64</v>
      </c>
    </row>
    <row r="261" spans="1:8" x14ac:dyDescent="0.25">
      <c r="A261" s="6" t="s">
        <v>1055</v>
      </c>
      <c r="B261" s="6" t="s">
        <v>30</v>
      </c>
      <c r="C261" s="6">
        <v>1.019657</v>
      </c>
      <c r="D261" s="6">
        <v>16.963799000000002</v>
      </c>
      <c r="E261" s="6" t="s">
        <v>800</v>
      </c>
      <c r="F261" s="6" t="s">
        <v>793</v>
      </c>
      <c r="G261" s="7" t="str">
        <f>IFERROR(_xlfn.XLOOKUP([1]!Registre[[#This Row],[ID_Antenne]],[1]Log_Réseaux!B:B,[1]Log_Réseaux!C:C),"NA")</f>
        <v>NA</v>
      </c>
      <c r="H261" s="7" t="str">
        <f>IFERROR(_xlfn.XLOOKUP([1]!Registre[[#This Row],[ID_Antenne]],[1]Log_Réseaux!B:B,[1]Log_Réseaux!D:D),"NA")</f>
        <v>NA</v>
      </c>
    </row>
    <row r="262" spans="1:8" x14ac:dyDescent="0.25">
      <c r="A262" s="6" t="s">
        <v>1056</v>
      </c>
      <c r="B262" s="6" t="s">
        <v>65</v>
      </c>
      <c r="C262" s="6">
        <v>-0.919767</v>
      </c>
      <c r="D262" s="6">
        <v>18.905538</v>
      </c>
      <c r="E262" s="6" t="s">
        <v>796</v>
      </c>
      <c r="F262" s="6" t="s">
        <v>802</v>
      </c>
      <c r="G262" s="7">
        <f>IFERROR(_xlfn.XLOOKUP([1]!Registre[[#This Row],[ID_Antenne]],[1]Log_Réseaux!B:B,[1]Log_Réseaux!C:C),"NA")</f>
        <v>1</v>
      </c>
      <c r="H262" s="7">
        <f>IFERROR(_xlfn.XLOOKUP([1]!Registre[[#This Row],[ID_Antenne]],[1]Log_Réseaux!B:B,[1]Log_Réseaux!D:D),"NA")</f>
        <v>105</v>
      </c>
    </row>
    <row r="263" spans="1:8" x14ac:dyDescent="0.25">
      <c r="A263" s="6" t="s">
        <v>1057</v>
      </c>
      <c r="B263" s="6" t="s">
        <v>44</v>
      </c>
      <c r="C263" s="6">
        <v>-4.4958720000000003</v>
      </c>
      <c r="D263" s="6">
        <v>18.514112000000001</v>
      </c>
      <c r="E263" s="6" t="s">
        <v>790</v>
      </c>
      <c r="F263" s="6" t="s">
        <v>793</v>
      </c>
      <c r="G263" s="7">
        <f>IFERROR(_xlfn.XLOOKUP([1]!Registre[[#This Row],[ID_Antenne]],[1]Log_Réseaux!B:B,[1]Log_Réseaux!C:C),"NA")</f>
        <v>2</v>
      </c>
      <c r="H263" s="7">
        <f>IFERROR(_xlfn.XLOOKUP([1]!Registre[[#This Row],[ID_Antenne]],[1]Log_Réseaux!B:B,[1]Log_Réseaux!D:D),"NA")</f>
        <v>148</v>
      </c>
    </row>
    <row r="264" spans="1:8" x14ac:dyDescent="0.25">
      <c r="A264" s="6" t="s">
        <v>1058</v>
      </c>
      <c r="B264" s="6" t="s">
        <v>97</v>
      </c>
      <c r="C264" s="6">
        <v>-2.6665070000000002</v>
      </c>
      <c r="D264" s="6">
        <v>18.623692999999999</v>
      </c>
      <c r="E264" s="6" t="s">
        <v>800</v>
      </c>
      <c r="F264" s="6" t="s">
        <v>791</v>
      </c>
      <c r="G264" s="7">
        <f>IFERROR(_xlfn.XLOOKUP([1]!Registre[[#This Row],[ID_Antenne]],[1]Log_Réseaux!B:B,[1]Log_Réseaux!C:C),"NA")</f>
        <v>2</v>
      </c>
      <c r="H264" s="7">
        <f>IFERROR(_xlfn.XLOOKUP([1]!Registre[[#This Row],[ID_Antenne]],[1]Log_Réseaux!B:B,[1]Log_Réseaux!D:D),"NA")</f>
        <v>121</v>
      </c>
    </row>
    <row r="265" spans="1:8" x14ac:dyDescent="0.25">
      <c r="A265" s="6" t="s">
        <v>1059</v>
      </c>
      <c r="B265" s="6" t="s">
        <v>57</v>
      </c>
      <c r="C265" s="6">
        <v>-0.47411900000000001</v>
      </c>
      <c r="D265" s="6">
        <v>27.184329000000002</v>
      </c>
      <c r="E265" s="6" t="s">
        <v>796</v>
      </c>
      <c r="F265" s="6" t="s">
        <v>791</v>
      </c>
      <c r="G265" s="7">
        <f>IFERROR(_xlfn.XLOOKUP([1]!Registre[[#This Row],[ID_Antenne]],[1]Log_Réseaux!B:B,[1]Log_Réseaux!C:C),"NA")</f>
        <v>2</v>
      </c>
      <c r="H265" s="7">
        <f>IFERROR(_xlfn.XLOOKUP([1]!Registre[[#This Row],[ID_Antenne]],[1]Log_Réseaux!B:B,[1]Log_Réseaux!D:D),"NA")</f>
        <v>89</v>
      </c>
    </row>
    <row r="266" spans="1:8" x14ac:dyDescent="0.25">
      <c r="A266" s="6" t="s">
        <v>1060</v>
      </c>
      <c r="B266" s="6" t="s">
        <v>24</v>
      </c>
      <c r="C266" s="6">
        <v>-7.789663</v>
      </c>
      <c r="D266" s="6">
        <v>26.529098000000001</v>
      </c>
      <c r="E266" s="6" t="s">
        <v>796</v>
      </c>
      <c r="F266" s="6" t="s">
        <v>793</v>
      </c>
      <c r="G266" s="7">
        <f>IFERROR(_xlfn.XLOOKUP([1]!Registre[[#This Row],[ID_Antenne]],[1]Log_Réseaux!B:B,[1]Log_Réseaux!C:C),"NA")</f>
        <v>2</v>
      </c>
      <c r="H266" s="7">
        <f>IFERROR(_xlfn.XLOOKUP([1]!Registre[[#This Row],[ID_Antenne]],[1]Log_Réseaux!B:B,[1]Log_Réseaux!D:D),"NA")</f>
        <v>81</v>
      </c>
    </row>
    <row r="267" spans="1:8" x14ac:dyDescent="0.25">
      <c r="A267" s="6" t="s">
        <v>1061</v>
      </c>
      <c r="B267" s="6" t="s">
        <v>97</v>
      </c>
      <c r="C267" s="6">
        <v>-10.579510000000001</v>
      </c>
      <c r="D267" s="6">
        <v>23.502313999999998</v>
      </c>
      <c r="E267" s="6" t="s">
        <v>790</v>
      </c>
      <c r="F267" s="6" t="s">
        <v>791</v>
      </c>
      <c r="G267" s="7" t="str">
        <f>IFERROR(_xlfn.XLOOKUP([1]!Registre[[#This Row],[ID_Antenne]],[1]Log_Réseaux!B:B,[1]Log_Réseaux!C:C),"NA")</f>
        <v>NA</v>
      </c>
      <c r="H267" s="7" t="str">
        <f>IFERROR(_xlfn.XLOOKUP([1]!Registre[[#This Row],[ID_Antenne]],[1]Log_Réseaux!B:B,[1]Log_Réseaux!D:D),"NA")</f>
        <v>NA</v>
      </c>
    </row>
    <row r="268" spans="1:8" x14ac:dyDescent="0.25">
      <c r="A268" s="6" t="s">
        <v>1062</v>
      </c>
      <c r="B268" s="6" t="s">
        <v>32</v>
      </c>
      <c r="C268" s="6">
        <v>4.6287159999999998</v>
      </c>
      <c r="D268" s="6">
        <v>19.407077999999998</v>
      </c>
      <c r="E268" s="6" t="s">
        <v>790</v>
      </c>
      <c r="F268" s="6" t="s">
        <v>802</v>
      </c>
      <c r="G268" s="7">
        <f>IFERROR(_xlfn.XLOOKUP([1]!Registre[[#This Row],[ID_Antenne]],[1]Log_Réseaux!B:B,[1]Log_Réseaux!C:C),"NA")</f>
        <v>2</v>
      </c>
      <c r="H268" s="7">
        <f>IFERROR(_xlfn.XLOOKUP([1]!Registre[[#This Row],[ID_Antenne]],[1]Log_Réseaux!B:B,[1]Log_Réseaux!D:D),"NA")</f>
        <v>165</v>
      </c>
    </row>
    <row r="269" spans="1:8" x14ac:dyDescent="0.25">
      <c r="A269" s="6" t="s">
        <v>1063</v>
      </c>
      <c r="B269" s="6" t="s">
        <v>38</v>
      </c>
      <c r="C269" s="6">
        <v>-1.3024210000000001</v>
      </c>
      <c r="D269" s="6">
        <v>13.601914000000001</v>
      </c>
      <c r="E269" s="6" t="s">
        <v>800</v>
      </c>
      <c r="F269" s="6" t="s">
        <v>797</v>
      </c>
      <c r="G269" s="7">
        <f>IFERROR(_xlfn.XLOOKUP([1]!Registre[[#This Row],[ID_Antenne]],[1]Log_Réseaux!B:B,[1]Log_Réseaux!C:C),"NA")</f>
        <v>1</v>
      </c>
      <c r="H269" s="7">
        <f>IFERROR(_xlfn.XLOOKUP([1]!Registre[[#This Row],[ID_Antenne]],[1]Log_Réseaux!B:B,[1]Log_Réseaux!D:D),"NA")</f>
        <v>115</v>
      </c>
    </row>
    <row r="270" spans="1:8" x14ac:dyDescent="0.25">
      <c r="A270" s="6" t="s">
        <v>1064</v>
      </c>
      <c r="B270" s="6" t="s">
        <v>44</v>
      </c>
      <c r="C270" s="6">
        <v>-11.468578000000001</v>
      </c>
      <c r="D270" s="6">
        <v>16.914501999999999</v>
      </c>
      <c r="E270" s="6" t="s">
        <v>790</v>
      </c>
      <c r="F270" s="6" t="s">
        <v>802</v>
      </c>
      <c r="G270" s="7">
        <f>IFERROR(_xlfn.XLOOKUP([1]!Registre[[#This Row],[ID_Antenne]],[1]Log_Réseaux!B:B,[1]Log_Réseaux!C:C),"NA")</f>
        <v>1</v>
      </c>
      <c r="H270" s="7">
        <f>IFERROR(_xlfn.XLOOKUP([1]!Registre[[#This Row],[ID_Antenne]],[1]Log_Réseaux!B:B,[1]Log_Réseaux!D:D),"NA")</f>
        <v>28</v>
      </c>
    </row>
    <row r="271" spans="1:8" x14ac:dyDescent="0.25">
      <c r="A271" s="6" t="s">
        <v>1065</v>
      </c>
      <c r="B271" s="6" t="s">
        <v>32</v>
      </c>
      <c r="C271" s="6">
        <v>-1.8555980000000001</v>
      </c>
      <c r="D271" s="6">
        <v>30.421918000000002</v>
      </c>
      <c r="E271" s="6" t="s">
        <v>800</v>
      </c>
      <c r="F271" s="6" t="s">
        <v>791</v>
      </c>
      <c r="G271" s="7">
        <f>IFERROR(_xlfn.XLOOKUP([1]!Registre[[#This Row],[ID_Antenne]],[1]Log_Réseaux!B:B,[1]Log_Réseaux!C:C),"NA")</f>
        <v>5</v>
      </c>
      <c r="H271" s="7">
        <f>IFERROR(_xlfn.XLOOKUP([1]!Registre[[#This Row],[ID_Antenne]],[1]Log_Réseaux!B:B,[1]Log_Réseaux!D:D),"NA")</f>
        <v>226</v>
      </c>
    </row>
    <row r="272" spans="1:8" x14ac:dyDescent="0.25">
      <c r="A272" s="6" t="s">
        <v>1066</v>
      </c>
      <c r="B272" s="6" t="s">
        <v>32</v>
      </c>
      <c r="C272" s="6">
        <v>-12.336202</v>
      </c>
      <c r="D272" s="6">
        <v>13.693683999999999</v>
      </c>
      <c r="E272" s="6" t="s">
        <v>796</v>
      </c>
      <c r="F272" s="6" t="s">
        <v>797</v>
      </c>
      <c r="G272" s="7">
        <f>IFERROR(_xlfn.XLOOKUP([1]!Registre[[#This Row],[ID_Antenne]],[1]Log_Réseaux!B:B,[1]Log_Réseaux!C:C),"NA")</f>
        <v>4</v>
      </c>
      <c r="H272" s="7">
        <f>IFERROR(_xlfn.XLOOKUP([1]!Registre[[#This Row],[ID_Antenne]],[1]Log_Réseaux!B:B,[1]Log_Réseaux!D:D),"NA")</f>
        <v>190</v>
      </c>
    </row>
    <row r="273" spans="1:8" x14ac:dyDescent="0.25">
      <c r="A273" s="6" t="s">
        <v>1067</v>
      </c>
      <c r="B273" s="6" t="s">
        <v>6</v>
      </c>
      <c r="C273" s="6">
        <v>-2.099631</v>
      </c>
      <c r="D273" s="6">
        <v>13.974640000000001</v>
      </c>
      <c r="E273" s="6" t="s">
        <v>800</v>
      </c>
      <c r="F273" s="6" t="s">
        <v>793</v>
      </c>
      <c r="G273" s="7">
        <f>IFERROR(_xlfn.XLOOKUP([1]!Registre[[#This Row],[ID_Antenne]],[1]Log_Réseaux!B:B,[1]Log_Réseaux!C:C),"NA")</f>
        <v>2</v>
      </c>
      <c r="H273" s="7">
        <f>IFERROR(_xlfn.XLOOKUP([1]!Registre[[#This Row],[ID_Antenne]],[1]Log_Réseaux!B:B,[1]Log_Réseaux!D:D),"NA")</f>
        <v>157</v>
      </c>
    </row>
    <row r="274" spans="1:8" x14ac:dyDescent="0.25">
      <c r="A274" s="6" t="s">
        <v>1068</v>
      </c>
      <c r="B274" s="6" t="s">
        <v>22</v>
      </c>
      <c r="C274" s="6">
        <v>-4.4697000000000001E-2</v>
      </c>
      <c r="D274" s="6">
        <v>22.943373000000001</v>
      </c>
      <c r="E274" s="6" t="s">
        <v>800</v>
      </c>
      <c r="F274" s="6" t="s">
        <v>797</v>
      </c>
      <c r="G274" s="7">
        <f>IFERROR(_xlfn.XLOOKUP([1]!Registre[[#This Row],[ID_Antenne]],[1]Log_Réseaux!B:B,[1]Log_Réseaux!C:C),"NA")</f>
        <v>1</v>
      </c>
      <c r="H274" s="7">
        <f>IFERROR(_xlfn.XLOOKUP([1]!Registre[[#This Row],[ID_Antenne]],[1]Log_Réseaux!B:B,[1]Log_Réseaux!D:D),"NA")</f>
        <v>82</v>
      </c>
    </row>
    <row r="275" spans="1:8" x14ac:dyDescent="0.25">
      <c r="A275" s="6" t="s">
        <v>1069</v>
      </c>
      <c r="B275" s="6" t="s">
        <v>44</v>
      </c>
      <c r="C275" s="6">
        <v>-3.3890790000000002</v>
      </c>
      <c r="D275" s="6">
        <v>18.374571</v>
      </c>
      <c r="E275" s="6" t="s">
        <v>796</v>
      </c>
      <c r="F275" s="6" t="s">
        <v>791</v>
      </c>
      <c r="G275" s="7">
        <f>IFERROR(_xlfn.XLOOKUP([1]!Registre[[#This Row],[ID_Antenne]],[1]Log_Réseaux!B:B,[1]Log_Réseaux!C:C),"NA")</f>
        <v>1</v>
      </c>
      <c r="H275" s="7">
        <f>IFERROR(_xlfn.XLOOKUP([1]!Registre[[#This Row],[ID_Antenne]],[1]Log_Réseaux!B:B,[1]Log_Réseaux!D:D),"NA")</f>
        <v>80</v>
      </c>
    </row>
    <row r="276" spans="1:8" x14ac:dyDescent="0.25">
      <c r="A276" s="6" t="s">
        <v>1070</v>
      </c>
      <c r="B276" s="6" t="s">
        <v>22</v>
      </c>
      <c r="C276" s="6">
        <v>-2.3269820000000001</v>
      </c>
      <c r="D276" s="6">
        <v>14.609259</v>
      </c>
      <c r="E276" s="6" t="s">
        <v>800</v>
      </c>
      <c r="F276" s="6" t="s">
        <v>793</v>
      </c>
      <c r="G276" s="7">
        <f>IFERROR(_xlfn.XLOOKUP([1]!Registre[[#This Row],[ID_Antenne]],[1]Log_Réseaux!B:B,[1]Log_Réseaux!C:C),"NA")</f>
        <v>1</v>
      </c>
      <c r="H276" s="7">
        <f>IFERROR(_xlfn.XLOOKUP([1]!Registre[[#This Row],[ID_Antenne]],[1]Log_Réseaux!B:B,[1]Log_Réseaux!D:D),"NA")</f>
        <v>68</v>
      </c>
    </row>
    <row r="277" spans="1:8" x14ac:dyDescent="0.25">
      <c r="A277" s="6" t="s">
        <v>1071</v>
      </c>
      <c r="B277" s="6" t="s">
        <v>156</v>
      </c>
      <c r="C277" s="6">
        <v>-7.4608439999999998</v>
      </c>
      <c r="D277" s="6">
        <v>23.268619999999999</v>
      </c>
      <c r="E277" s="6" t="s">
        <v>790</v>
      </c>
      <c r="F277" s="6" t="s">
        <v>797</v>
      </c>
      <c r="G277" s="7">
        <f>IFERROR(_xlfn.XLOOKUP([1]!Registre[[#This Row],[ID_Antenne]],[1]Log_Réseaux!B:B,[1]Log_Réseaux!C:C),"NA")</f>
        <v>1</v>
      </c>
      <c r="H277" s="7">
        <f>IFERROR(_xlfn.XLOOKUP([1]!Registre[[#This Row],[ID_Antenne]],[1]Log_Réseaux!B:B,[1]Log_Réseaux!D:D),"NA")</f>
        <v>58</v>
      </c>
    </row>
    <row r="278" spans="1:8" x14ac:dyDescent="0.25">
      <c r="A278" s="6" t="s">
        <v>1072</v>
      </c>
      <c r="B278" s="6" t="s">
        <v>59</v>
      </c>
      <c r="C278" s="6">
        <v>-6.1490739999999997</v>
      </c>
      <c r="D278" s="6">
        <v>23.304411000000002</v>
      </c>
      <c r="E278" s="6" t="s">
        <v>796</v>
      </c>
      <c r="F278" s="6" t="s">
        <v>791</v>
      </c>
      <c r="G278" s="7">
        <f>IFERROR(_xlfn.XLOOKUP([1]!Registre[[#This Row],[ID_Antenne]],[1]Log_Réseaux!B:B,[1]Log_Réseaux!C:C),"NA")</f>
        <v>3</v>
      </c>
      <c r="H278" s="7">
        <f>IFERROR(_xlfn.XLOOKUP([1]!Registre[[#This Row],[ID_Antenne]],[1]Log_Réseaux!B:B,[1]Log_Réseaux!D:D),"NA")</f>
        <v>197</v>
      </c>
    </row>
    <row r="279" spans="1:8" x14ac:dyDescent="0.25">
      <c r="A279" s="6" t="s">
        <v>1073</v>
      </c>
      <c r="B279" s="6" t="s">
        <v>28</v>
      </c>
      <c r="C279" s="6">
        <v>-1.6488929999999999</v>
      </c>
      <c r="D279" s="6">
        <v>27.284617000000001</v>
      </c>
      <c r="E279" s="6" t="s">
        <v>796</v>
      </c>
      <c r="F279" s="6" t="s">
        <v>793</v>
      </c>
      <c r="G279" s="7">
        <f>IFERROR(_xlfn.XLOOKUP([1]!Registre[[#This Row],[ID_Antenne]],[1]Log_Réseaux!B:B,[1]Log_Réseaux!C:C),"NA")</f>
        <v>1</v>
      </c>
      <c r="H279" s="7">
        <f>IFERROR(_xlfn.XLOOKUP([1]!Registre[[#This Row],[ID_Antenne]],[1]Log_Réseaux!B:B,[1]Log_Réseaux!D:D),"NA")</f>
        <v>12</v>
      </c>
    </row>
    <row r="280" spans="1:8" x14ac:dyDescent="0.25">
      <c r="A280" s="6" t="s">
        <v>1074</v>
      </c>
      <c r="B280" s="6" t="s">
        <v>156</v>
      </c>
      <c r="C280" s="6">
        <v>-11.354772000000001</v>
      </c>
      <c r="D280" s="6">
        <v>21.957325999999998</v>
      </c>
      <c r="E280" s="6" t="s">
        <v>800</v>
      </c>
      <c r="F280" s="6" t="s">
        <v>793</v>
      </c>
      <c r="G280" s="7">
        <f>IFERROR(_xlfn.XLOOKUP([1]!Registre[[#This Row],[ID_Antenne]],[1]Log_Réseaux!B:B,[1]Log_Réseaux!C:C),"NA")</f>
        <v>1</v>
      </c>
      <c r="H280" s="7">
        <f>IFERROR(_xlfn.XLOOKUP([1]!Registre[[#This Row],[ID_Antenne]],[1]Log_Réseaux!B:B,[1]Log_Réseaux!D:D),"NA")</f>
        <v>27</v>
      </c>
    </row>
    <row r="281" spans="1:8" x14ac:dyDescent="0.25">
      <c r="A281" s="6" t="s">
        <v>1075</v>
      </c>
      <c r="B281" s="6" t="s">
        <v>38</v>
      </c>
      <c r="C281" s="6">
        <v>-1.4700059999999999</v>
      </c>
      <c r="D281" s="6">
        <v>18.680958</v>
      </c>
      <c r="E281" s="6" t="s">
        <v>800</v>
      </c>
      <c r="F281" s="6" t="s">
        <v>797</v>
      </c>
      <c r="G281" s="7">
        <f>IFERROR(_xlfn.XLOOKUP([1]!Registre[[#This Row],[ID_Antenne]],[1]Log_Réseaux!B:B,[1]Log_Réseaux!C:C),"NA")</f>
        <v>2</v>
      </c>
      <c r="H281" s="7">
        <f>IFERROR(_xlfn.XLOOKUP([1]!Registre[[#This Row],[ID_Antenne]],[1]Log_Réseaux!B:B,[1]Log_Réseaux!D:D),"NA")</f>
        <v>181</v>
      </c>
    </row>
    <row r="282" spans="1:8" x14ac:dyDescent="0.25">
      <c r="A282" s="6" t="s">
        <v>1076</v>
      </c>
      <c r="B282" s="6" t="s">
        <v>72</v>
      </c>
      <c r="C282" s="6">
        <v>-3.967184</v>
      </c>
      <c r="D282" s="6">
        <v>21.177499999999998</v>
      </c>
      <c r="E282" s="6" t="s">
        <v>800</v>
      </c>
      <c r="F282" s="6" t="s">
        <v>797</v>
      </c>
      <c r="G282" s="7" t="str">
        <f>IFERROR(_xlfn.XLOOKUP([1]!Registre[[#This Row],[ID_Antenne]],[1]Log_Réseaux!B:B,[1]Log_Réseaux!C:C),"NA")</f>
        <v>NA</v>
      </c>
      <c r="H282" s="7" t="str">
        <f>IFERROR(_xlfn.XLOOKUP([1]!Registre[[#This Row],[ID_Antenne]],[1]Log_Réseaux!B:B,[1]Log_Réseaux!D:D),"NA")</f>
        <v>NA</v>
      </c>
    </row>
    <row r="283" spans="1:8" x14ac:dyDescent="0.25">
      <c r="A283" s="6" t="s">
        <v>1077</v>
      </c>
      <c r="B283" s="6" t="s">
        <v>44</v>
      </c>
      <c r="C283" s="6">
        <v>-10.945031</v>
      </c>
      <c r="D283" s="6">
        <v>27.922274000000002</v>
      </c>
      <c r="E283" s="6" t="s">
        <v>790</v>
      </c>
      <c r="F283" s="6" t="s">
        <v>802</v>
      </c>
      <c r="G283" s="7">
        <f>IFERROR(_xlfn.XLOOKUP([1]!Registre[[#This Row],[ID_Antenne]],[1]Log_Réseaux!B:B,[1]Log_Réseaux!C:C),"NA")</f>
        <v>3</v>
      </c>
      <c r="H283" s="7">
        <f>IFERROR(_xlfn.XLOOKUP([1]!Registre[[#This Row],[ID_Antenne]],[1]Log_Réseaux!B:B,[1]Log_Réseaux!D:D),"NA")</f>
        <v>298</v>
      </c>
    </row>
    <row r="284" spans="1:8" x14ac:dyDescent="0.25">
      <c r="A284" s="6" t="s">
        <v>1078</v>
      </c>
      <c r="B284" s="6" t="s">
        <v>18</v>
      </c>
      <c r="C284" s="6">
        <v>-4.8157019999999999</v>
      </c>
      <c r="D284" s="6">
        <v>27.679798000000002</v>
      </c>
      <c r="E284" s="6" t="s">
        <v>800</v>
      </c>
      <c r="F284" s="6" t="s">
        <v>802</v>
      </c>
      <c r="G284" s="7">
        <f>IFERROR(_xlfn.XLOOKUP([1]!Registre[[#This Row],[ID_Antenne]],[1]Log_Réseaux!B:B,[1]Log_Réseaux!C:C),"NA")</f>
        <v>1</v>
      </c>
      <c r="H284" s="7">
        <f>IFERROR(_xlfn.XLOOKUP([1]!Registre[[#This Row],[ID_Antenne]],[1]Log_Réseaux!B:B,[1]Log_Réseaux!D:D),"NA")</f>
        <v>99</v>
      </c>
    </row>
    <row r="285" spans="1:8" x14ac:dyDescent="0.25">
      <c r="A285" s="6" t="s">
        <v>1079</v>
      </c>
      <c r="B285" s="6" t="s">
        <v>62</v>
      </c>
      <c r="C285" s="6">
        <v>4.7908840000000001</v>
      </c>
      <c r="D285" s="6">
        <v>23.051435000000001</v>
      </c>
      <c r="E285" s="6" t="s">
        <v>800</v>
      </c>
      <c r="F285" s="6" t="s">
        <v>793</v>
      </c>
      <c r="G285" s="7" t="str">
        <f>IFERROR(_xlfn.XLOOKUP([1]!Registre[[#This Row],[ID_Antenne]],[1]Log_Réseaux!B:B,[1]Log_Réseaux!C:C),"NA")</f>
        <v>NA</v>
      </c>
      <c r="H285" s="7" t="str">
        <f>IFERROR(_xlfn.XLOOKUP([1]!Registre[[#This Row],[ID_Antenne]],[1]Log_Réseaux!B:B,[1]Log_Réseaux!D:D),"NA")</f>
        <v>NA</v>
      </c>
    </row>
    <row r="286" spans="1:8" x14ac:dyDescent="0.25">
      <c r="A286" s="6" t="s">
        <v>1080</v>
      </c>
      <c r="B286" s="6" t="s">
        <v>42</v>
      </c>
      <c r="C286" s="6">
        <v>-6.8161690000000004</v>
      </c>
      <c r="D286" s="6">
        <v>16.521000999999998</v>
      </c>
      <c r="E286" s="6" t="s">
        <v>796</v>
      </c>
      <c r="F286" s="6" t="s">
        <v>802</v>
      </c>
      <c r="G286" s="7" t="str">
        <f>IFERROR(_xlfn.XLOOKUP([1]!Registre[[#This Row],[ID_Antenne]],[1]Log_Réseaux!B:B,[1]Log_Réseaux!C:C),"NA")</f>
        <v>NA</v>
      </c>
      <c r="H286" s="7" t="str">
        <f>IFERROR(_xlfn.XLOOKUP([1]!Registre[[#This Row],[ID_Antenne]],[1]Log_Réseaux!B:B,[1]Log_Réseaux!D:D),"NA")</f>
        <v>NA</v>
      </c>
    </row>
    <row r="287" spans="1:8" x14ac:dyDescent="0.25">
      <c r="A287" s="6" t="s">
        <v>1081</v>
      </c>
      <c r="B287" s="6" t="s">
        <v>69</v>
      </c>
      <c r="C287" s="6">
        <v>-4.4831099999999999</v>
      </c>
      <c r="D287" s="6">
        <v>25.406548000000001</v>
      </c>
      <c r="E287" s="6" t="s">
        <v>796</v>
      </c>
      <c r="F287" s="6" t="s">
        <v>793</v>
      </c>
      <c r="G287" s="7">
        <f>IFERROR(_xlfn.XLOOKUP([1]!Registre[[#This Row],[ID_Antenne]],[1]Log_Réseaux!B:B,[1]Log_Réseaux!C:C),"NA")</f>
        <v>1</v>
      </c>
      <c r="H287" s="7">
        <f>IFERROR(_xlfn.XLOOKUP([1]!Registre[[#This Row],[ID_Antenne]],[1]Log_Réseaux!B:B,[1]Log_Réseaux!D:D),"NA")</f>
        <v>66</v>
      </c>
    </row>
    <row r="288" spans="1:8" x14ac:dyDescent="0.25">
      <c r="A288" s="6" t="s">
        <v>1082</v>
      </c>
      <c r="B288" s="6" t="s">
        <v>28</v>
      </c>
      <c r="C288" s="6">
        <v>-6.5144820000000001</v>
      </c>
      <c r="D288" s="6">
        <v>13.815521</v>
      </c>
      <c r="E288" s="6" t="s">
        <v>790</v>
      </c>
      <c r="F288" s="6" t="s">
        <v>791</v>
      </c>
      <c r="G288" s="7" t="str">
        <f>IFERROR(_xlfn.XLOOKUP([1]!Registre[[#This Row],[ID_Antenne]],[1]Log_Réseaux!B:B,[1]Log_Réseaux!C:C),"NA")</f>
        <v>NA</v>
      </c>
      <c r="H288" s="7" t="str">
        <f>IFERROR(_xlfn.XLOOKUP([1]!Registre[[#This Row],[ID_Antenne]],[1]Log_Réseaux!B:B,[1]Log_Réseaux!D:D),"NA")</f>
        <v>NA</v>
      </c>
    </row>
    <row r="289" spans="1:8" x14ac:dyDescent="0.25">
      <c r="A289" s="6" t="s">
        <v>1083</v>
      </c>
      <c r="B289" s="6" t="s">
        <v>48</v>
      </c>
      <c r="C289" s="6">
        <v>-8.3241560000000003</v>
      </c>
      <c r="D289" s="6">
        <v>19.543866000000001</v>
      </c>
      <c r="E289" s="6" t="s">
        <v>790</v>
      </c>
      <c r="F289" s="6" t="s">
        <v>791</v>
      </c>
      <c r="G289" s="7">
        <f>IFERROR(_xlfn.XLOOKUP([1]!Registre[[#This Row],[ID_Antenne]],[1]Log_Réseaux!B:B,[1]Log_Réseaux!C:C),"NA")</f>
        <v>1</v>
      </c>
      <c r="H289" s="7">
        <f>IFERROR(_xlfn.XLOOKUP([1]!Registre[[#This Row],[ID_Antenne]],[1]Log_Réseaux!B:B,[1]Log_Réseaux!D:D),"NA")</f>
        <v>68</v>
      </c>
    </row>
    <row r="290" spans="1:8" x14ac:dyDescent="0.25">
      <c r="A290" s="6" t="s">
        <v>1084</v>
      </c>
      <c r="B290" s="6" t="s">
        <v>72</v>
      </c>
      <c r="C290" s="6">
        <v>-9.3066320000000005</v>
      </c>
      <c r="D290" s="6">
        <v>20.470889</v>
      </c>
      <c r="E290" s="6" t="s">
        <v>796</v>
      </c>
      <c r="F290" s="6" t="s">
        <v>791</v>
      </c>
      <c r="G290" s="7">
        <f>IFERROR(_xlfn.XLOOKUP([1]!Registre[[#This Row],[ID_Antenne]],[1]Log_Réseaux!B:B,[1]Log_Réseaux!C:C),"NA")</f>
        <v>1</v>
      </c>
      <c r="H290" s="7">
        <f>IFERROR(_xlfn.XLOOKUP([1]!Registre[[#This Row],[ID_Antenne]],[1]Log_Réseaux!B:B,[1]Log_Réseaux!D:D),"NA")</f>
        <v>41</v>
      </c>
    </row>
    <row r="291" spans="1:8" x14ac:dyDescent="0.25">
      <c r="A291" s="6" t="s">
        <v>1085</v>
      </c>
      <c r="B291" s="6" t="s">
        <v>24</v>
      </c>
      <c r="C291" s="6">
        <v>-12.292039000000001</v>
      </c>
      <c r="D291" s="6">
        <v>27.538202999999999</v>
      </c>
      <c r="E291" s="6" t="s">
        <v>800</v>
      </c>
      <c r="F291" s="6" t="s">
        <v>797</v>
      </c>
      <c r="G291" s="7">
        <f>IFERROR(_xlfn.XLOOKUP([1]!Registre[[#This Row],[ID_Antenne]],[1]Log_Réseaux!B:B,[1]Log_Réseaux!C:C),"NA")</f>
        <v>1</v>
      </c>
      <c r="H291" s="7">
        <f>IFERROR(_xlfn.XLOOKUP([1]!Registre[[#This Row],[ID_Antenne]],[1]Log_Réseaux!B:B,[1]Log_Réseaux!D:D),"NA")</f>
        <v>83</v>
      </c>
    </row>
    <row r="292" spans="1:8" x14ac:dyDescent="0.25">
      <c r="A292" s="6" t="s">
        <v>1086</v>
      </c>
      <c r="B292" s="6" t="s">
        <v>18</v>
      </c>
      <c r="C292" s="6">
        <v>-12.013389999999999</v>
      </c>
      <c r="D292" s="6">
        <v>25.24456</v>
      </c>
      <c r="E292" s="6" t="s">
        <v>800</v>
      </c>
      <c r="F292" s="6" t="s">
        <v>797</v>
      </c>
      <c r="G292" s="7" t="str">
        <f>IFERROR(_xlfn.XLOOKUP([1]!Registre[[#This Row],[ID_Antenne]],[1]Log_Réseaux!B:B,[1]Log_Réseaux!C:C),"NA")</f>
        <v>NA</v>
      </c>
      <c r="H292" s="7" t="str">
        <f>IFERROR(_xlfn.XLOOKUP([1]!Registre[[#This Row],[ID_Antenne]],[1]Log_Réseaux!B:B,[1]Log_Réseaux!D:D),"NA")</f>
        <v>NA</v>
      </c>
    </row>
    <row r="293" spans="1:8" x14ac:dyDescent="0.25">
      <c r="A293" s="6" t="s">
        <v>1087</v>
      </c>
      <c r="B293" s="6" t="s">
        <v>28</v>
      </c>
      <c r="C293" s="6">
        <v>-1.259528</v>
      </c>
      <c r="D293" s="6">
        <v>24.607037999999999</v>
      </c>
      <c r="E293" s="6" t="s">
        <v>790</v>
      </c>
      <c r="F293" s="6" t="s">
        <v>791</v>
      </c>
      <c r="G293" s="7" t="str">
        <f>IFERROR(_xlfn.XLOOKUP([1]!Registre[[#This Row],[ID_Antenne]],[1]Log_Réseaux!B:B,[1]Log_Réseaux!C:C),"NA")</f>
        <v>NA</v>
      </c>
      <c r="H293" s="7" t="str">
        <f>IFERROR(_xlfn.XLOOKUP([1]!Registre[[#This Row],[ID_Antenne]],[1]Log_Réseaux!B:B,[1]Log_Réseaux!D:D),"NA")</f>
        <v>NA</v>
      </c>
    </row>
    <row r="294" spans="1:8" x14ac:dyDescent="0.25">
      <c r="A294" s="6" t="s">
        <v>1088</v>
      </c>
      <c r="B294" s="6" t="s">
        <v>32</v>
      </c>
      <c r="C294" s="6">
        <v>-1.501492</v>
      </c>
      <c r="D294" s="6">
        <v>24.088695999999999</v>
      </c>
      <c r="E294" s="6" t="s">
        <v>790</v>
      </c>
      <c r="F294" s="6" t="s">
        <v>793</v>
      </c>
      <c r="G294" s="7" t="str">
        <f>IFERROR(_xlfn.XLOOKUP([1]!Registre[[#This Row],[ID_Antenne]],[1]Log_Réseaux!B:B,[1]Log_Réseaux!C:C),"NA")</f>
        <v>NA</v>
      </c>
      <c r="H294" s="7" t="str">
        <f>IFERROR(_xlfn.XLOOKUP([1]!Registre[[#This Row],[ID_Antenne]],[1]Log_Réseaux!B:B,[1]Log_Réseaux!D:D),"NA")</f>
        <v>NA</v>
      </c>
    </row>
    <row r="295" spans="1:8" x14ac:dyDescent="0.25">
      <c r="A295" s="6" t="s">
        <v>1089</v>
      </c>
      <c r="B295" s="6" t="s">
        <v>18</v>
      </c>
      <c r="C295" s="6">
        <v>2.628638</v>
      </c>
      <c r="D295" s="6">
        <v>28.420582</v>
      </c>
      <c r="E295" s="6" t="s">
        <v>790</v>
      </c>
      <c r="F295" s="6" t="s">
        <v>797</v>
      </c>
      <c r="G295" s="7">
        <f>IFERROR(_xlfn.XLOOKUP([1]!Registre[[#This Row],[ID_Antenne]],[1]Log_Réseaux!B:B,[1]Log_Réseaux!C:C),"NA")</f>
        <v>2</v>
      </c>
      <c r="H295" s="7">
        <f>IFERROR(_xlfn.XLOOKUP([1]!Registre[[#This Row],[ID_Antenne]],[1]Log_Réseaux!B:B,[1]Log_Réseaux!D:D),"NA")</f>
        <v>136</v>
      </c>
    </row>
    <row r="296" spans="1:8" x14ac:dyDescent="0.25">
      <c r="A296" s="6" t="s">
        <v>1090</v>
      </c>
      <c r="B296" s="6" t="s">
        <v>22</v>
      </c>
      <c r="C296" s="6">
        <v>-6.8054750000000004</v>
      </c>
      <c r="D296" s="6">
        <v>13.022683000000001</v>
      </c>
      <c r="E296" s="6" t="s">
        <v>790</v>
      </c>
      <c r="F296" s="6" t="s">
        <v>797</v>
      </c>
      <c r="G296" s="7" t="str">
        <f>IFERROR(_xlfn.XLOOKUP([1]!Registre[[#This Row],[ID_Antenne]],[1]Log_Réseaux!B:B,[1]Log_Réseaux!C:C),"NA")</f>
        <v>NA</v>
      </c>
      <c r="H296" s="7" t="str">
        <f>IFERROR(_xlfn.XLOOKUP([1]!Registre[[#This Row],[ID_Antenne]],[1]Log_Réseaux!B:B,[1]Log_Réseaux!D:D),"NA")</f>
        <v>NA</v>
      </c>
    </row>
    <row r="297" spans="1:8" x14ac:dyDescent="0.25">
      <c r="A297" s="6" t="s">
        <v>1091</v>
      </c>
      <c r="B297" s="6" t="s">
        <v>72</v>
      </c>
      <c r="C297" s="6">
        <v>-8.4985189999999999</v>
      </c>
      <c r="D297" s="6">
        <v>12.929456999999999</v>
      </c>
      <c r="E297" s="6" t="s">
        <v>790</v>
      </c>
      <c r="F297" s="6" t="s">
        <v>802</v>
      </c>
      <c r="G297" s="7">
        <f>IFERROR(_xlfn.XLOOKUP([1]!Registre[[#This Row],[ID_Antenne]],[1]Log_Réseaux!B:B,[1]Log_Réseaux!C:C),"NA")</f>
        <v>3</v>
      </c>
      <c r="H297" s="7">
        <f>IFERROR(_xlfn.XLOOKUP([1]!Registre[[#This Row],[ID_Antenne]],[1]Log_Réseaux!B:B,[1]Log_Réseaux!D:D),"NA")</f>
        <v>139</v>
      </c>
    </row>
    <row r="298" spans="1:8" x14ac:dyDescent="0.25">
      <c r="A298" s="6" t="s">
        <v>1092</v>
      </c>
      <c r="B298" s="6" t="s">
        <v>15</v>
      </c>
      <c r="C298" s="6">
        <v>0.79124300000000003</v>
      </c>
      <c r="D298" s="6">
        <v>25.273389000000002</v>
      </c>
      <c r="E298" s="6" t="s">
        <v>790</v>
      </c>
      <c r="F298" s="6" t="s">
        <v>793</v>
      </c>
      <c r="G298" s="7">
        <f>IFERROR(_xlfn.XLOOKUP([1]!Registre[[#This Row],[ID_Antenne]],[1]Log_Réseaux!B:B,[1]Log_Réseaux!C:C),"NA")</f>
        <v>1</v>
      </c>
      <c r="H298" s="7">
        <f>IFERROR(_xlfn.XLOOKUP([1]!Registre[[#This Row],[ID_Antenne]],[1]Log_Réseaux!B:B,[1]Log_Réseaux!D:D),"NA")</f>
        <v>27</v>
      </c>
    </row>
    <row r="299" spans="1:8" x14ac:dyDescent="0.25">
      <c r="A299" s="6" t="s">
        <v>1093</v>
      </c>
      <c r="B299" s="6" t="s">
        <v>62</v>
      </c>
      <c r="C299" s="6">
        <v>-7.5129409999999996</v>
      </c>
      <c r="D299" s="6">
        <v>18.701522000000001</v>
      </c>
      <c r="E299" s="6" t="s">
        <v>790</v>
      </c>
      <c r="F299" s="6" t="s">
        <v>793</v>
      </c>
      <c r="G299" s="7">
        <f>IFERROR(_xlfn.XLOOKUP([1]!Registre[[#This Row],[ID_Antenne]],[1]Log_Réseaux!B:B,[1]Log_Réseaux!C:C),"NA")</f>
        <v>2</v>
      </c>
      <c r="H299" s="7">
        <f>IFERROR(_xlfn.XLOOKUP([1]!Registre[[#This Row],[ID_Antenne]],[1]Log_Réseaux!B:B,[1]Log_Réseaux!D:D),"NA")</f>
        <v>150</v>
      </c>
    </row>
    <row r="300" spans="1:8" x14ac:dyDescent="0.25">
      <c r="A300" s="6" t="s">
        <v>1094</v>
      </c>
      <c r="B300" s="6" t="s">
        <v>42</v>
      </c>
      <c r="C300" s="6">
        <v>-7.7942479999999996</v>
      </c>
      <c r="D300" s="6">
        <v>15.184407999999999</v>
      </c>
      <c r="E300" s="6" t="s">
        <v>800</v>
      </c>
      <c r="F300" s="6" t="s">
        <v>791</v>
      </c>
      <c r="G300" s="7" t="str">
        <f>IFERROR(_xlfn.XLOOKUP([1]!Registre[[#This Row],[ID_Antenne]],[1]Log_Réseaux!B:B,[1]Log_Réseaux!C:C),"NA")</f>
        <v>NA</v>
      </c>
      <c r="H300" s="7" t="str">
        <f>IFERROR(_xlfn.XLOOKUP([1]!Registre[[#This Row],[ID_Antenne]],[1]Log_Réseaux!B:B,[1]Log_Réseaux!D:D),"NA")</f>
        <v>NA</v>
      </c>
    </row>
    <row r="301" spans="1:8" x14ac:dyDescent="0.25">
      <c r="A301" s="6" t="s">
        <v>1095</v>
      </c>
      <c r="B301" s="6" t="s">
        <v>65</v>
      </c>
      <c r="C301" s="6">
        <v>-6.1837850000000003</v>
      </c>
      <c r="D301" s="6">
        <v>25.138759</v>
      </c>
      <c r="E301" s="6" t="s">
        <v>800</v>
      </c>
      <c r="F301" s="6" t="s">
        <v>802</v>
      </c>
      <c r="G301" s="7">
        <f>IFERROR(_xlfn.XLOOKUP([1]!Registre[[#This Row],[ID_Antenne]],[1]Log_Réseaux!B:B,[1]Log_Réseaux!C:C),"NA")</f>
        <v>1</v>
      </c>
      <c r="H301" s="7">
        <f>IFERROR(_xlfn.XLOOKUP([1]!Registre[[#This Row],[ID_Antenne]],[1]Log_Réseaux!B:B,[1]Log_Réseaux!D:D),"NA")</f>
        <v>115</v>
      </c>
    </row>
    <row r="302" spans="1:8" x14ac:dyDescent="0.25">
      <c r="A302" s="6" t="s">
        <v>1096</v>
      </c>
      <c r="B302" s="6"/>
      <c r="C302" s="6">
        <v>3.9790009999999998</v>
      </c>
      <c r="D302" s="6">
        <v>28.069559000000002</v>
      </c>
      <c r="E302" s="6" t="s">
        <v>800</v>
      </c>
      <c r="F302" s="6" t="s">
        <v>797</v>
      </c>
      <c r="G302" s="7">
        <f>IFERROR(_xlfn.XLOOKUP([1]!Registre[[#This Row],[ID_Antenne]],[1]Log_Réseaux!B:B,[1]Log_Réseaux!C:C),"NA")</f>
        <v>1</v>
      </c>
      <c r="H302" s="7">
        <f>IFERROR(_xlfn.XLOOKUP([1]!Registre[[#This Row],[ID_Antenne]],[1]Log_Réseaux!B:B,[1]Log_Réseaux!D:D),"NA")</f>
        <v>68</v>
      </c>
    </row>
    <row r="303" spans="1:8" x14ac:dyDescent="0.25">
      <c r="A303" s="6" t="s">
        <v>1097</v>
      </c>
      <c r="B303" s="6" t="s">
        <v>59</v>
      </c>
      <c r="C303" s="6">
        <v>-3.7093609999999999</v>
      </c>
      <c r="D303" s="6">
        <v>23.959942999999999</v>
      </c>
      <c r="E303" s="6" t="s">
        <v>790</v>
      </c>
      <c r="F303" s="6" t="s">
        <v>797</v>
      </c>
      <c r="G303" s="7" t="str">
        <f>IFERROR(_xlfn.XLOOKUP([1]!Registre[[#This Row],[ID_Antenne]],[1]Log_Réseaux!B:B,[1]Log_Réseaux!C:C),"NA")</f>
        <v>NA</v>
      </c>
      <c r="H303" s="7" t="str">
        <f>IFERROR(_xlfn.XLOOKUP([1]!Registre[[#This Row],[ID_Antenne]],[1]Log_Réseaux!B:B,[1]Log_Réseaux!D:D),"NA")</f>
        <v>NA</v>
      </c>
    </row>
    <row r="304" spans="1:8" x14ac:dyDescent="0.25">
      <c r="A304" s="6" t="s">
        <v>1098</v>
      </c>
      <c r="B304" s="6" t="s">
        <v>24</v>
      </c>
      <c r="C304" s="6">
        <v>-7.7587710000000003</v>
      </c>
      <c r="D304" s="6">
        <v>17.880848</v>
      </c>
      <c r="E304" s="6" t="s">
        <v>800</v>
      </c>
      <c r="F304" s="6" t="s">
        <v>802</v>
      </c>
      <c r="G304" s="7">
        <f>IFERROR(_xlfn.XLOOKUP([1]!Registre[[#This Row],[ID_Antenne]],[1]Log_Réseaux!B:B,[1]Log_Réseaux!C:C),"NA")</f>
        <v>1</v>
      </c>
      <c r="H304" s="7">
        <f>IFERROR(_xlfn.XLOOKUP([1]!Registre[[#This Row],[ID_Antenne]],[1]Log_Réseaux!B:B,[1]Log_Réseaux!D:D),"NA")</f>
        <v>50</v>
      </c>
    </row>
    <row r="305" spans="1:8" x14ac:dyDescent="0.25">
      <c r="A305" s="6" t="s">
        <v>1099</v>
      </c>
      <c r="B305" s="6" t="s">
        <v>12</v>
      </c>
      <c r="C305" s="6">
        <v>-4.332408</v>
      </c>
      <c r="D305" s="6">
        <v>14.119439</v>
      </c>
      <c r="E305" s="6" t="s">
        <v>796</v>
      </c>
      <c r="F305" s="6" t="s">
        <v>793</v>
      </c>
      <c r="G305" s="7" t="str">
        <f>IFERROR(_xlfn.XLOOKUP([1]!Registre[[#This Row],[ID_Antenne]],[1]Log_Réseaux!B:B,[1]Log_Réseaux!C:C),"NA")</f>
        <v>NA</v>
      </c>
      <c r="H305" s="7" t="str">
        <f>IFERROR(_xlfn.XLOOKUP([1]!Registre[[#This Row],[ID_Antenne]],[1]Log_Réseaux!B:B,[1]Log_Réseaux!D:D),"NA")</f>
        <v>NA</v>
      </c>
    </row>
    <row r="306" spans="1:8" x14ac:dyDescent="0.25">
      <c r="A306" s="6" t="s">
        <v>1100</v>
      </c>
      <c r="B306" s="6" t="s">
        <v>105</v>
      </c>
      <c r="C306" s="6">
        <v>-7.513261</v>
      </c>
      <c r="D306" s="6">
        <v>24.338812000000001</v>
      </c>
      <c r="E306" s="6" t="s">
        <v>796</v>
      </c>
      <c r="F306" s="6" t="s">
        <v>797</v>
      </c>
      <c r="G306" s="7">
        <f>IFERROR(_xlfn.XLOOKUP([1]!Registre[[#This Row],[ID_Antenne]],[1]Log_Réseaux!B:B,[1]Log_Réseaux!C:C),"NA")</f>
        <v>1</v>
      </c>
      <c r="H306" s="7">
        <f>IFERROR(_xlfn.XLOOKUP([1]!Registre[[#This Row],[ID_Antenne]],[1]Log_Réseaux!B:B,[1]Log_Réseaux!D:D),"NA")</f>
        <v>46</v>
      </c>
    </row>
    <row r="307" spans="1:8" x14ac:dyDescent="0.25">
      <c r="A307" s="6" t="s">
        <v>1101</v>
      </c>
      <c r="B307" s="6" t="s">
        <v>32</v>
      </c>
      <c r="C307" s="6">
        <v>-4.1754939999999996</v>
      </c>
      <c r="D307" s="6">
        <v>16.704664999999999</v>
      </c>
      <c r="E307" s="6" t="s">
        <v>800</v>
      </c>
      <c r="F307" s="6" t="s">
        <v>802</v>
      </c>
      <c r="G307" s="7">
        <f>IFERROR(_xlfn.XLOOKUP([1]!Registre[[#This Row],[ID_Antenne]],[1]Log_Réseaux!B:B,[1]Log_Réseaux!C:C),"NA")</f>
        <v>2</v>
      </c>
      <c r="H307" s="7">
        <f>IFERROR(_xlfn.XLOOKUP([1]!Registre[[#This Row],[ID_Antenne]],[1]Log_Réseaux!B:B,[1]Log_Réseaux!D:D),"NA")</f>
        <v>105</v>
      </c>
    </row>
    <row r="308" spans="1:8" x14ac:dyDescent="0.25">
      <c r="A308" s="6" t="s">
        <v>1102</v>
      </c>
      <c r="B308" s="6" t="s">
        <v>44</v>
      </c>
      <c r="C308" s="6">
        <v>-2.926736</v>
      </c>
      <c r="D308" s="6">
        <v>18.170461</v>
      </c>
      <c r="E308" s="6" t="s">
        <v>796</v>
      </c>
      <c r="F308" s="6" t="s">
        <v>802</v>
      </c>
      <c r="G308" s="7">
        <f>IFERROR(_xlfn.XLOOKUP([1]!Registre[[#This Row],[ID_Antenne]],[1]Log_Réseaux!B:B,[1]Log_Réseaux!C:C),"NA")</f>
        <v>1</v>
      </c>
      <c r="H308" s="7">
        <f>IFERROR(_xlfn.XLOOKUP([1]!Registre[[#This Row],[ID_Antenne]],[1]Log_Réseaux!B:B,[1]Log_Réseaux!D:D),"NA")</f>
        <v>53</v>
      </c>
    </row>
    <row r="309" spans="1:8" x14ac:dyDescent="0.25">
      <c r="A309" s="6" t="s">
        <v>1103</v>
      </c>
      <c r="B309" s="6" t="s">
        <v>40</v>
      </c>
      <c r="C309" s="6">
        <v>-3.003879</v>
      </c>
      <c r="D309" s="6">
        <v>23.633893</v>
      </c>
      <c r="E309" s="6" t="s">
        <v>796</v>
      </c>
      <c r="F309" s="6" t="s">
        <v>802</v>
      </c>
      <c r="G309" s="7">
        <f>IFERROR(_xlfn.XLOOKUP([1]!Registre[[#This Row],[ID_Antenne]],[1]Log_Réseaux!B:B,[1]Log_Réseaux!C:C),"NA")</f>
        <v>1</v>
      </c>
      <c r="H309" s="7">
        <f>IFERROR(_xlfn.XLOOKUP([1]!Registre[[#This Row],[ID_Antenne]],[1]Log_Réseaux!B:B,[1]Log_Réseaux!D:D),"NA")</f>
        <v>100</v>
      </c>
    </row>
    <row r="310" spans="1:8" x14ac:dyDescent="0.25">
      <c r="A310" s="6" t="s">
        <v>1104</v>
      </c>
      <c r="B310" s="6" t="s">
        <v>44</v>
      </c>
      <c r="C310" s="6">
        <v>0.172153</v>
      </c>
      <c r="D310" s="6">
        <v>21.091376</v>
      </c>
      <c r="E310" s="6" t="s">
        <v>800</v>
      </c>
      <c r="F310" s="6" t="s">
        <v>802</v>
      </c>
      <c r="G310" s="7">
        <f>IFERROR(_xlfn.XLOOKUP([1]!Registre[[#This Row],[ID_Antenne]],[1]Log_Réseaux!B:B,[1]Log_Réseaux!C:C),"NA")</f>
        <v>3</v>
      </c>
      <c r="H310" s="7">
        <f>IFERROR(_xlfn.XLOOKUP([1]!Registre[[#This Row],[ID_Antenne]],[1]Log_Réseaux!B:B,[1]Log_Réseaux!D:D),"NA")</f>
        <v>165</v>
      </c>
    </row>
    <row r="311" spans="1:8" x14ac:dyDescent="0.25">
      <c r="A311" s="6" t="s">
        <v>1105</v>
      </c>
      <c r="B311" s="6" t="s">
        <v>18</v>
      </c>
      <c r="C311" s="6">
        <v>0.76493</v>
      </c>
      <c r="D311" s="6">
        <v>21.564274999999999</v>
      </c>
      <c r="E311" s="6" t="s">
        <v>800</v>
      </c>
      <c r="F311" s="6" t="s">
        <v>791</v>
      </c>
      <c r="G311" s="7" t="str">
        <f>IFERROR(_xlfn.XLOOKUP([1]!Registre[[#This Row],[ID_Antenne]],[1]Log_Réseaux!B:B,[1]Log_Réseaux!C:C),"NA")</f>
        <v>NA</v>
      </c>
      <c r="H311" s="7" t="str">
        <f>IFERROR(_xlfn.XLOOKUP([1]!Registre[[#This Row],[ID_Antenne]],[1]Log_Réseaux!B:B,[1]Log_Réseaux!D:D),"NA")</f>
        <v>NA</v>
      </c>
    </row>
    <row r="312" spans="1:8" x14ac:dyDescent="0.25">
      <c r="A312" s="6" t="s">
        <v>1106</v>
      </c>
      <c r="B312" s="6" t="s">
        <v>72</v>
      </c>
      <c r="C312" s="6">
        <v>-11.472474999999999</v>
      </c>
      <c r="D312" s="6">
        <v>27.418900000000001</v>
      </c>
      <c r="E312" s="6" t="s">
        <v>790</v>
      </c>
      <c r="F312" s="6" t="s">
        <v>791</v>
      </c>
      <c r="G312" s="7" t="str">
        <f>IFERROR(_xlfn.XLOOKUP([1]!Registre[[#This Row],[ID_Antenne]],[1]Log_Réseaux!B:B,[1]Log_Réseaux!C:C),"NA")</f>
        <v>NA</v>
      </c>
      <c r="H312" s="7" t="str">
        <f>IFERROR(_xlfn.XLOOKUP([1]!Registre[[#This Row],[ID_Antenne]],[1]Log_Réseaux!B:B,[1]Log_Réseaux!D:D),"NA")</f>
        <v>NA</v>
      </c>
    </row>
    <row r="313" spans="1:8" x14ac:dyDescent="0.25">
      <c r="A313" s="6" t="s">
        <v>1107</v>
      </c>
      <c r="B313" s="6" t="s">
        <v>62</v>
      </c>
      <c r="C313" s="6">
        <v>1.204588</v>
      </c>
      <c r="D313" s="6">
        <v>15.525152</v>
      </c>
      <c r="E313" s="6" t="s">
        <v>796</v>
      </c>
      <c r="F313" s="6" t="s">
        <v>797</v>
      </c>
      <c r="G313" s="7" t="str">
        <f>IFERROR(_xlfn.XLOOKUP([1]!Registre[[#This Row],[ID_Antenne]],[1]Log_Réseaux!B:B,[1]Log_Réseaux!C:C),"NA")</f>
        <v>NA</v>
      </c>
      <c r="H313" s="7" t="str">
        <f>IFERROR(_xlfn.XLOOKUP([1]!Registre[[#This Row],[ID_Antenne]],[1]Log_Réseaux!B:B,[1]Log_Réseaux!D:D),"NA")</f>
        <v>NA</v>
      </c>
    </row>
    <row r="314" spans="1:8" x14ac:dyDescent="0.25">
      <c r="A314" s="6" t="s">
        <v>1108</v>
      </c>
      <c r="B314" s="6" t="s">
        <v>62</v>
      </c>
      <c r="C314" s="6">
        <v>-8.1210620000000002</v>
      </c>
      <c r="D314" s="6">
        <v>21.094390000000001</v>
      </c>
      <c r="E314" s="6" t="s">
        <v>796</v>
      </c>
      <c r="F314" s="6" t="s">
        <v>791</v>
      </c>
      <c r="G314" s="7">
        <f>IFERROR(_xlfn.XLOOKUP([1]!Registre[[#This Row],[ID_Antenne]],[1]Log_Réseaux!B:B,[1]Log_Réseaux!C:C),"NA")</f>
        <v>1</v>
      </c>
      <c r="H314" s="7">
        <f>IFERROR(_xlfn.XLOOKUP([1]!Registre[[#This Row],[ID_Antenne]],[1]Log_Réseaux!B:B,[1]Log_Réseaux!D:D),"NA")</f>
        <v>68</v>
      </c>
    </row>
    <row r="315" spans="1:8" x14ac:dyDescent="0.25">
      <c r="A315" s="6" t="s">
        <v>1109</v>
      </c>
      <c r="B315" s="6" t="s">
        <v>65</v>
      </c>
      <c r="C315" s="6">
        <v>-0.85624699999999998</v>
      </c>
      <c r="D315" s="6">
        <v>28.624870000000001</v>
      </c>
      <c r="E315" s="6" t="s">
        <v>800</v>
      </c>
      <c r="F315" s="6" t="s">
        <v>802</v>
      </c>
      <c r="G315" s="7">
        <f>IFERROR(_xlfn.XLOOKUP([1]!Registre[[#This Row],[ID_Antenne]],[1]Log_Réseaux!B:B,[1]Log_Réseaux!C:C),"NA")</f>
        <v>2</v>
      </c>
      <c r="H315" s="7">
        <f>IFERROR(_xlfn.XLOOKUP([1]!Registre[[#This Row],[ID_Antenne]],[1]Log_Réseaux!B:B,[1]Log_Réseaux!D:D),"NA")</f>
        <v>187</v>
      </c>
    </row>
    <row r="316" spans="1:8" x14ac:dyDescent="0.25">
      <c r="A316" s="6" t="s">
        <v>1110</v>
      </c>
      <c r="B316" s="6" t="s">
        <v>24</v>
      </c>
      <c r="C316" s="6">
        <v>3.796754</v>
      </c>
      <c r="D316" s="6">
        <v>25.172377999999998</v>
      </c>
      <c r="E316" s="6" t="s">
        <v>790</v>
      </c>
      <c r="F316" s="6" t="s">
        <v>797</v>
      </c>
      <c r="G316" s="7" t="str">
        <f>IFERROR(_xlfn.XLOOKUP([1]!Registre[[#This Row],[ID_Antenne]],[1]Log_Réseaux!B:B,[1]Log_Réseaux!C:C),"NA")</f>
        <v>NA</v>
      </c>
      <c r="H316" s="7" t="str">
        <f>IFERROR(_xlfn.XLOOKUP([1]!Registre[[#This Row],[ID_Antenne]],[1]Log_Réseaux!B:B,[1]Log_Réseaux!D:D),"NA")</f>
        <v>NA</v>
      </c>
    </row>
    <row r="317" spans="1:8" x14ac:dyDescent="0.25">
      <c r="A317" s="6" t="s">
        <v>1111</v>
      </c>
      <c r="B317" s="6" t="s">
        <v>42</v>
      </c>
      <c r="C317" s="6">
        <v>2.5665840000000002</v>
      </c>
      <c r="D317" s="6">
        <v>15.764796</v>
      </c>
      <c r="E317" s="6" t="s">
        <v>800</v>
      </c>
      <c r="F317" s="6" t="s">
        <v>791</v>
      </c>
      <c r="G317" s="7">
        <f>IFERROR(_xlfn.XLOOKUP([1]!Registre[[#This Row],[ID_Antenne]],[1]Log_Réseaux!B:B,[1]Log_Réseaux!C:C),"NA")</f>
        <v>1</v>
      </c>
      <c r="H317" s="7">
        <f>IFERROR(_xlfn.XLOOKUP([1]!Registre[[#This Row],[ID_Antenne]],[1]Log_Réseaux!B:B,[1]Log_Réseaux!D:D),"NA")</f>
        <v>87</v>
      </c>
    </row>
    <row r="318" spans="1:8" x14ac:dyDescent="0.25">
      <c r="A318" s="6" t="s">
        <v>1112</v>
      </c>
      <c r="B318" s="6" t="s">
        <v>34</v>
      </c>
      <c r="C318" s="6">
        <v>-2.2371569999999998</v>
      </c>
      <c r="D318" s="6">
        <v>25.926188</v>
      </c>
      <c r="E318" s="6" t="s">
        <v>800</v>
      </c>
      <c r="F318" s="6" t="s">
        <v>793</v>
      </c>
      <c r="G318" s="7">
        <f>IFERROR(_xlfn.XLOOKUP([1]!Registre[[#This Row],[ID_Antenne]],[1]Log_Réseaux!B:B,[1]Log_Réseaux!C:C),"NA")</f>
        <v>3</v>
      </c>
      <c r="H318" s="7">
        <f>IFERROR(_xlfn.XLOOKUP([1]!Registre[[#This Row],[ID_Antenne]],[1]Log_Réseaux!B:B,[1]Log_Réseaux!D:D),"NA")</f>
        <v>171</v>
      </c>
    </row>
    <row r="319" spans="1:8" x14ac:dyDescent="0.25">
      <c r="A319" s="6" t="s">
        <v>1113</v>
      </c>
      <c r="B319" s="6" t="s">
        <v>9</v>
      </c>
      <c r="C319" s="6">
        <v>-4.2408359999999998</v>
      </c>
      <c r="D319" s="6">
        <v>26.210014000000001</v>
      </c>
      <c r="E319" s="6" t="s">
        <v>790</v>
      </c>
      <c r="F319" s="6" t="s">
        <v>797</v>
      </c>
      <c r="G319" s="7">
        <f>IFERROR(_xlfn.XLOOKUP([1]!Registre[[#This Row],[ID_Antenne]],[1]Log_Réseaux!B:B,[1]Log_Réseaux!C:C),"NA")</f>
        <v>1</v>
      </c>
      <c r="H319" s="7">
        <f>IFERROR(_xlfn.XLOOKUP([1]!Registre[[#This Row],[ID_Antenne]],[1]Log_Réseaux!B:B,[1]Log_Réseaux!D:D),"NA")</f>
        <v>20</v>
      </c>
    </row>
    <row r="320" spans="1:8" x14ac:dyDescent="0.25">
      <c r="A320" s="6" t="s">
        <v>1114</v>
      </c>
      <c r="B320" s="6" t="s">
        <v>65</v>
      </c>
      <c r="C320" s="6">
        <v>1.3367519999999999</v>
      </c>
      <c r="D320" s="6">
        <v>12.697699999999999</v>
      </c>
      <c r="E320" s="6" t="s">
        <v>796</v>
      </c>
      <c r="F320" s="6" t="s">
        <v>797</v>
      </c>
      <c r="G320" s="7" t="str">
        <f>IFERROR(_xlfn.XLOOKUP([1]!Registre[[#This Row],[ID_Antenne]],[1]Log_Réseaux!B:B,[1]Log_Réseaux!C:C),"NA")</f>
        <v>NA</v>
      </c>
      <c r="H320" s="7" t="str">
        <f>IFERROR(_xlfn.XLOOKUP([1]!Registre[[#This Row],[ID_Antenne]],[1]Log_Réseaux!B:B,[1]Log_Réseaux!D:D),"NA")</f>
        <v>NA</v>
      </c>
    </row>
    <row r="321" spans="1:8" x14ac:dyDescent="0.25">
      <c r="A321" s="6" t="s">
        <v>1115</v>
      </c>
      <c r="B321" s="6" t="s">
        <v>69</v>
      </c>
      <c r="C321" s="6">
        <v>2.1014910000000002</v>
      </c>
      <c r="D321" s="6">
        <v>26.133631999999999</v>
      </c>
      <c r="E321" s="6" t="s">
        <v>796</v>
      </c>
      <c r="F321" s="6" t="s">
        <v>797</v>
      </c>
      <c r="G321" s="7" t="str">
        <f>IFERROR(_xlfn.XLOOKUP([1]!Registre[[#This Row],[ID_Antenne]],[1]Log_Réseaux!B:B,[1]Log_Réseaux!C:C),"NA")</f>
        <v>NA</v>
      </c>
      <c r="H321" s="7" t="str">
        <f>IFERROR(_xlfn.XLOOKUP([1]!Registre[[#This Row],[ID_Antenne]],[1]Log_Réseaux!B:B,[1]Log_Réseaux!D:D),"NA")</f>
        <v>NA</v>
      </c>
    </row>
    <row r="322" spans="1:8" x14ac:dyDescent="0.25">
      <c r="A322" s="6" t="s">
        <v>1116</v>
      </c>
      <c r="B322" s="6" t="s">
        <v>62</v>
      </c>
      <c r="C322" s="6">
        <v>0.81629799999999997</v>
      </c>
      <c r="D322" s="6">
        <v>18.557718000000001</v>
      </c>
      <c r="E322" s="6" t="s">
        <v>796</v>
      </c>
      <c r="F322" s="6" t="s">
        <v>802</v>
      </c>
      <c r="G322" s="7" t="str">
        <f>IFERROR(_xlfn.XLOOKUP([1]!Registre[[#This Row],[ID_Antenne]],[1]Log_Réseaux!B:B,[1]Log_Réseaux!C:C),"NA")</f>
        <v>NA</v>
      </c>
      <c r="H322" s="7" t="str">
        <f>IFERROR(_xlfn.XLOOKUP([1]!Registre[[#This Row],[ID_Antenne]],[1]Log_Réseaux!B:B,[1]Log_Réseaux!D:D),"NA")</f>
        <v>NA</v>
      </c>
    </row>
    <row r="323" spans="1:8" x14ac:dyDescent="0.25">
      <c r="A323" s="6" t="s">
        <v>1117</v>
      </c>
      <c r="B323" s="6" t="s">
        <v>72</v>
      </c>
      <c r="C323" s="6">
        <v>-7.7839049999999999</v>
      </c>
      <c r="D323" s="6">
        <v>14.114281999999999</v>
      </c>
      <c r="E323" s="6" t="s">
        <v>800</v>
      </c>
      <c r="F323" s="6" t="s">
        <v>791</v>
      </c>
      <c r="G323" s="7">
        <f>IFERROR(_xlfn.XLOOKUP([1]!Registre[[#This Row],[ID_Antenne]],[1]Log_Réseaux!B:B,[1]Log_Réseaux!C:C),"NA")</f>
        <v>3</v>
      </c>
      <c r="H323" s="7">
        <f>IFERROR(_xlfn.XLOOKUP([1]!Registre[[#This Row],[ID_Antenne]],[1]Log_Réseaux!B:B,[1]Log_Réseaux!D:D),"NA")</f>
        <v>156</v>
      </c>
    </row>
    <row r="324" spans="1:8" x14ac:dyDescent="0.25">
      <c r="A324" s="6" t="s">
        <v>1118</v>
      </c>
      <c r="B324" s="6" t="s">
        <v>38</v>
      </c>
      <c r="C324" s="6">
        <v>-12.17557</v>
      </c>
      <c r="D324" s="6">
        <v>26.678691000000001</v>
      </c>
      <c r="E324" s="6" t="s">
        <v>790</v>
      </c>
      <c r="F324" s="6" t="s">
        <v>797</v>
      </c>
      <c r="G324" s="7" t="str">
        <f>IFERROR(_xlfn.XLOOKUP([1]!Registre[[#This Row],[ID_Antenne]],[1]Log_Réseaux!B:B,[1]Log_Réseaux!C:C),"NA")</f>
        <v>NA</v>
      </c>
      <c r="H324" s="7" t="str">
        <f>IFERROR(_xlfn.XLOOKUP([1]!Registre[[#This Row],[ID_Antenne]],[1]Log_Réseaux!B:B,[1]Log_Réseaux!D:D),"NA")</f>
        <v>NA</v>
      </c>
    </row>
    <row r="325" spans="1:8" x14ac:dyDescent="0.25">
      <c r="A325" s="6" t="s">
        <v>1119</v>
      </c>
      <c r="B325" s="6" t="s">
        <v>32</v>
      </c>
      <c r="C325" s="6">
        <v>0.82868600000000003</v>
      </c>
      <c r="D325" s="6">
        <v>26.958843999999999</v>
      </c>
      <c r="E325" s="6" t="s">
        <v>796</v>
      </c>
      <c r="F325" s="6" t="s">
        <v>791</v>
      </c>
      <c r="G325" s="7">
        <f>IFERROR(_xlfn.XLOOKUP([1]!Registre[[#This Row],[ID_Antenne]],[1]Log_Réseaux!B:B,[1]Log_Réseaux!C:C),"NA")</f>
        <v>5</v>
      </c>
      <c r="H325" s="7">
        <f>IFERROR(_xlfn.XLOOKUP([1]!Registre[[#This Row],[ID_Antenne]],[1]Log_Réseaux!B:B,[1]Log_Réseaux!D:D),"NA")</f>
        <v>385</v>
      </c>
    </row>
    <row r="326" spans="1:8" x14ac:dyDescent="0.25">
      <c r="A326" s="6" t="s">
        <v>1120</v>
      </c>
      <c r="B326" s="6" t="s">
        <v>6</v>
      </c>
      <c r="C326" s="6">
        <v>-6.2712260000000004</v>
      </c>
      <c r="D326" s="6">
        <v>21.512366</v>
      </c>
      <c r="E326" s="6" t="s">
        <v>796</v>
      </c>
      <c r="F326" s="6" t="s">
        <v>797</v>
      </c>
      <c r="G326" s="7" t="str">
        <f>IFERROR(_xlfn.XLOOKUP([1]!Registre[[#This Row],[ID_Antenne]],[1]Log_Réseaux!B:B,[1]Log_Réseaux!C:C),"NA")</f>
        <v>NA</v>
      </c>
      <c r="H326" s="7" t="str">
        <f>IFERROR(_xlfn.XLOOKUP([1]!Registre[[#This Row],[ID_Antenne]],[1]Log_Réseaux!B:B,[1]Log_Réseaux!D:D),"NA")</f>
        <v>NA</v>
      </c>
    </row>
    <row r="327" spans="1:8" x14ac:dyDescent="0.25">
      <c r="A327" s="6" t="s">
        <v>1121</v>
      </c>
      <c r="B327" s="6" t="s">
        <v>72</v>
      </c>
      <c r="C327" s="6">
        <v>-1.342476</v>
      </c>
      <c r="D327" s="6">
        <v>15.986086</v>
      </c>
      <c r="E327" s="6" t="s">
        <v>790</v>
      </c>
      <c r="F327" s="6" t="s">
        <v>802</v>
      </c>
      <c r="G327" s="7">
        <f>IFERROR(_xlfn.XLOOKUP([1]!Registre[[#This Row],[ID_Antenne]],[1]Log_Réseaux!B:B,[1]Log_Réseaux!C:C),"NA")</f>
        <v>4</v>
      </c>
      <c r="H327" s="7">
        <f>IFERROR(_xlfn.XLOOKUP([1]!Registre[[#This Row],[ID_Antenne]],[1]Log_Réseaux!B:B,[1]Log_Réseaux!D:D),"NA")</f>
        <v>352</v>
      </c>
    </row>
    <row r="328" spans="1:8" x14ac:dyDescent="0.25">
      <c r="A328" s="6" t="s">
        <v>1122</v>
      </c>
      <c r="B328" s="6" t="s">
        <v>18</v>
      </c>
      <c r="C328" s="6">
        <v>-5.5559329999999996</v>
      </c>
      <c r="D328" s="6">
        <v>13.508692999999999</v>
      </c>
      <c r="E328" s="6" t="s">
        <v>800</v>
      </c>
      <c r="F328" s="6" t="s">
        <v>793</v>
      </c>
      <c r="G328" s="7">
        <f>IFERROR(_xlfn.XLOOKUP([1]!Registre[[#This Row],[ID_Antenne]],[1]Log_Réseaux!B:B,[1]Log_Réseaux!C:C),"NA")</f>
        <v>1</v>
      </c>
      <c r="H328" s="7">
        <f>IFERROR(_xlfn.XLOOKUP([1]!Registre[[#This Row],[ID_Antenne]],[1]Log_Réseaux!B:B,[1]Log_Réseaux!D:D),"NA")</f>
        <v>92</v>
      </c>
    </row>
    <row r="329" spans="1:8" x14ac:dyDescent="0.25">
      <c r="A329" s="6" t="s">
        <v>1123</v>
      </c>
      <c r="B329" s="6" t="s">
        <v>22</v>
      </c>
      <c r="C329" s="6">
        <v>-5.9281110000000004</v>
      </c>
      <c r="D329" s="6">
        <v>29.607863999999999</v>
      </c>
      <c r="E329" s="6" t="s">
        <v>790</v>
      </c>
      <c r="F329" s="6" t="s">
        <v>797</v>
      </c>
      <c r="G329" s="7" t="str">
        <f>IFERROR(_xlfn.XLOOKUP([1]!Registre[[#This Row],[ID_Antenne]],[1]Log_Réseaux!B:B,[1]Log_Réseaux!C:C),"NA")</f>
        <v>NA</v>
      </c>
      <c r="H329" s="7" t="str">
        <f>IFERROR(_xlfn.XLOOKUP([1]!Registre[[#This Row],[ID_Antenne]],[1]Log_Réseaux!B:B,[1]Log_Réseaux!D:D),"NA")</f>
        <v>NA</v>
      </c>
    </row>
    <row r="330" spans="1:8" x14ac:dyDescent="0.25">
      <c r="A330" s="6" t="s">
        <v>1124</v>
      </c>
      <c r="B330" s="6" t="s">
        <v>15</v>
      </c>
      <c r="C330" s="6">
        <v>-9.8208710000000004</v>
      </c>
      <c r="D330" s="6">
        <v>23.229807000000001</v>
      </c>
      <c r="E330" s="6" t="s">
        <v>796</v>
      </c>
      <c r="F330" s="6" t="s">
        <v>793</v>
      </c>
      <c r="G330" s="7">
        <f>IFERROR(_xlfn.XLOOKUP([1]!Registre[[#This Row],[ID_Antenne]],[1]Log_Réseaux!B:B,[1]Log_Réseaux!C:C),"NA")</f>
        <v>2</v>
      </c>
      <c r="H330" s="7">
        <f>IFERROR(_xlfn.XLOOKUP([1]!Registre[[#This Row],[ID_Antenne]],[1]Log_Réseaux!B:B,[1]Log_Réseaux!D:D),"NA")</f>
        <v>136</v>
      </c>
    </row>
    <row r="331" spans="1:8" x14ac:dyDescent="0.25">
      <c r="A331" s="6" t="s">
        <v>1125</v>
      </c>
      <c r="B331" s="6" t="s">
        <v>40</v>
      </c>
      <c r="C331" s="6">
        <v>-7.1483749999999997</v>
      </c>
      <c r="D331" s="6">
        <v>26.014271000000001</v>
      </c>
      <c r="E331" s="6" t="s">
        <v>796</v>
      </c>
      <c r="F331" s="6" t="s">
        <v>797</v>
      </c>
      <c r="G331" s="7">
        <f>IFERROR(_xlfn.XLOOKUP([1]!Registre[[#This Row],[ID_Antenne]],[1]Log_Réseaux!B:B,[1]Log_Réseaux!C:C),"NA")</f>
        <v>3</v>
      </c>
      <c r="H331" s="7">
        <f>IFERROR(_xlfn.XLOOKUP([1]!Registre[[#This Row],[ID_Antenne]],[1]Log_Réseaux!B:B,[1]Log_Réseaux!D:D),"NA")</f>
        <v>291</v>
      </c>
    </row>
    <row r="332" spans="1:8" x14ac:dyDescent="0.25">
      <c r="A332" s="6" t="s">
        <v>1126</v>
      </c>
      <c r="B332" s="6" t="s">
        <v>72</v>
      </c>
      <c r="C332" s="6">
        <v>-7.8373179999999998</v>
      </c>
      <c r="D332" s="6">
        <v>20.527591999999999</v>
      </c>
      <c r="E332" s="6" t="s">
        <v>790</v>
      </c>
      <c r="F332" s="6" t="s">
        <v>802</v>
      </c>
      <c r="G332" s="7">
        <f>IFERROR(_xlfn.XLOOKUP([1]!Registre[[#This Row],[ID_Antenne]],[1]Log_Réseaux!B:B,[1]Log_Réseaux!C:C),"NA")</f>
        <v>1</v>
      </c>
      <c r="H332" s="7">
        <f>IFERROR(_xlfn.XLOOKUP([1]!Registre[[#This Row],[ID_Antenne]],[1]Log_Réseaux!B:B,[1]Log_Réseaux!D:D),"NA")</f>
        <v>53</v>
      </c>
    </row>
    <row r="333" spans="1:8" x14ac:dyDescent="0.25">
      <c r="A333" s="6" t="s">
        <v>1127</v>
      </c>
      <c r="B333" s="6" t="s">
        <v>24</v>
      </c>
      <c r="C333" s="6">
        <v>0.52897499999999997</v>
      </c>
      <c r="D333" s="6">
        <v>13.849651</v>
      </c>
      <c r="E333" s="6" t="s">
        <v>800</v>
      </c>
      <c r="F333" s="6" t="s">
        <v>791</v>
      </c>
      <c r="G333" s="7">
        <f>IFERROR(_xlfn.XLOOKUP([1]!Registre[[#This Row],[ID_Antenne]],[1]Log_Réseaux!B:B,[1]Log_Réseaux!C:C),"NA")</f>
        <v>1</v>
      </c>
      <c r="H333" s="7">
        <f>IFERROR(_xlfn.XLOOKUP([1]!Registre[[#This Row],[ID_Antenne]],[1]Log_Réseaux!B:B,[1]Log_Réseaux!D:D),"NA")</f>
        <v>65</v>
      </c>
    </row>
    <row r="334" spans="1:8" x14ac:dyDescent="0.25">
      <c r="A334" s="6" t="s">
        <v>1128</v>
      </c>
      <c r="B334" s="6" t="s">
        <v>69</v>
      </c>
      <c r="C334" s="6">
        <v>3.7552780000000001</v>
      </c>
      <c r="D334" s="6">
        <v>22.477888</v>
      </c>
      <c r="E334" s="6" t="s">
        <v>800</v>
      </c>
      <c r="F334" s="6" t="s">
        <v>793</v>
      </c>
      <c r="G334" s="7" t="str">
        <f>IFERROR(_xlfn.XLOOKUP([1]!Registre[[#This Row],[ID_Antenne]],[1]Log_Réseaux!B:B,[1]Log_Réseaux!C:C),"NA")</f>
        <v>NA</v>
      </c>
      <c r="H334" s="7" t="str">
        <f>IFERROR(_xlfn.XLOOKUP([1]!Registre[[#This Row],[ID_Antenne]],[1]Log_Réseaux!B:B,[1]Log_Réseaux!D:D),"NA")</f>
        <v>NA</v>
      </c>
    </row>
    <row r="335" spans="1:8" x14ac:dyDescent="0.25">
      <c r="A335" s="6" t="s">
        <v>1129</v>
      </c>
      <c r="B335" s="6" t="s">
        <v>62</v>
      </c>
      <c r="C335" s="6">
        <v>-4.6957509999999996</v>
      </c>
      <c r="D335" s="6">
        <v>14.233525999999999</v>
      </c>
      <c r="E335" s="6" t="s">
        <v>790</v>
      </c>
      <c r="F335" s="6" t="s">
        <v>793</v>
      </c>
      <c r="G335" s="7">
        <f>IFERROR(_xlfn.XLOOKUP([1]!Registre[[#This Row],[ID_Antenne]],[1]Log_Réseaux!B:B,[1]Log_Réseaux!C:C),"NA")</f>
        <v>1</v>
      </c>
      <c r="H335" s="7">
        <f>IFERROR(_xlfn.XLOOKUP([1]!Registre[[#This Row],[ID_Antenne]],[1]Log_Réseaux!B:B,[1]Log_Réseaux!D:D),"NA")</f>
        <v>74</v>
      </c>
    </row>
    <row r="336" spans="1:8" x14ac:dyDescent="0.25">
      <c r="A336" s="6" t="s">
        <v>1130</v>
      </c>
      <c r="B336" s="6" t="s">
        <v>32</v>
      </c>
      <c r="C336" s="6">
        <v>-10.298385</v>
      </c>
      <c r="D336" s="6">
        <v>29.698117</v>
      </c>
      <c r="E336" s="6" t="s">
        <v>796</v>
      </c>
      <c r="F336" s="6" t="s">
        <v>793</v>
      </c>
      <c r="G336" s="7">
        <f>IFERROR(_xlfn.XLOOKUP([1]!Registre[[#This Row],[ID_Antenne]],[1]Log_Réseaux!B:B,[1]Log_Réseaux!C:C),"NA")</f>
        <v>2</v>
      </c>
      <c r="H336" s="7">
        <f>IFERROR(_xlfn.XLOOKUP([1]!Registre[[#This Row],[ID_Antenne]],[1]Log_Réseaux!B:B,[1]Log_Réseaux!D:D),"NA")</f>
        <v>72</v>
      </c>
    </row>
    <row r="337" spans="1:8" x14ac:dyDescent="0.25">
      <c r="A337" s="6" t="s">
        <v>1131</v>
      </c>
      <c r="B337" s="6" t="s">
        <v>15</v>
      </c>
      <c r="C337" s="6">
        <v>-7.1587569999999996</v>
      </c>
      <c r="D337" s="6">
        <v>18.975141000000001</v>
      </c>
      <c r="E337" s="6" t="s">
        <v>796</v>
      </c>
      <c r="F337" s="6" t="s">
        <v>802</v>
      </c>
      <c r="G337" s="7">
        <f>IFERROR(_xlfn.XLOOKUP([1]!Registre[[#This Row],[ID_Antenne]],[1]Log_Réseaux!B:B,[1]Log_Réseaux!C:C),"NA")</f>
        <v>3</v>
      </c>
      <c r="H337" s="7">
        <f>IFERROR(_xlfn.XLOOKUP([1]!Registre[[#This Row],[ID_Antenne]],[1]Log_Réseaux!B:B,[1]Log_Réseaux!D:D),"NA")</f>
        <v>266</v>
      </c>
    </row>
    <row r="338" spans="1:8" x14ac:dyDescent="0.25">
      <c r="A338" s="6" t="s">
        <v>1132</v>
      </c>
      <c r="B338" s="6" t="s">
        <v>24</v>
      </c>
      <c r="C338" s="6">
        <v>-0.79406600000000005</v>
      </c>
      <c r="D338" s="6">
        <v>12.534793000000001</v>
      </c>
      <c r="E338" s="6" t="s">
        <v>800</v>
      </c>
      <c r="F338" s="6" t="s">
        <v>797</v>
      </c>
      <c r="G338" s="7">
        <f>IFERROR(_xlfn.XLOOKUP([1]!Registre[[#This Row],[ID_Antenne]],[1]Log_Réseaux!B:B,[1]Log_Réseaux!C:C),"NA")</f>
        <v>1</v>
      </c>
      <c r="H338" s="7">
        <f>IFERROR(_xlfn.XLOOKUP([1]!Registre[[#This Row],[ID_Antenne]],[1]Log_Réseaux!B:B,[1]Log_Réseaux!D:D),"NA")</f>
        <v>8</v>
      </c>
    </row>
    <row r="339" spans="1:8" x14ac:dyDescent="0.25">
      <c r="A339" s="6" t="s">
        <v>1133</v>
      </c>
      <c r="B339" s="6" t="s">
        <v>44</v>
      </c>
      <c r="C339" s="6">
        <v>-9.8451869999999992</v>
      </c>
      <c r="D339" s="6">
        <v>14.508520000000001</v>
      </c>
      <c r="E339" s="6" t="s">
        <v>796</v>
      </c>
      <c r="F339" s="6" t="s">
        <v>793</v>
      </c>
      <c r="G339" s="7" t="str">
        <f>IFERROR(_xlfn.XLOOKUP([1]!Registre[[#This Row],[ID_Antenne]],[1]Log_Réseaux!B:B,[1]Log_Réseaux!C:C),"NA")</f>
        <v>NA</v>
      </c>
      <c r="H339" s="7" t="str">
        <f>IFERROR(_xlfn.XLOOKUP([1]!Registre[[#This Row],[ID_Antenne]],[1]Log_Réseaux!B:B,[1]Log_Réseaux!D:D),"NA")</f>
        <v>NA</v>
      </c>
    </row>
    <row r="340" spans="1:8" x14ac:dyDescent="0.25">
      <c r="A340" s="6" t="s">
        <v>1134</v>
      </c>
      <c r="B340" s="6" t="s">
        <v>42</v>
      </c>
      <c r="C340" s="6">
        <v>-2.947235</v>
      </c>
      <c r="D340" s="6">
        <v>16.534020999999999</v>
      </c>
      <c r="E340" s="6" t="s">
        <v>800</v>
      </c>
      <c r="F340" s="6" t="s">
        <v>793</v>
      </c>
      <c r="G340" s="7" t="str">
        <f>IFERROR(_xlfn.XLOOKUP([1]!Registre[[#This Row],[ID_Antenne]],[1]Log_Réseaux!B:B,[1]Log_Réseaux!C:C),"NA")</f>
        <v>NA</v>
      </c>
      <c r="H340" s="7" t="str">
        <f>IFERROR(_xlfn.XLOOKUP([1]!Registre[[#This Row],[ID_Antenne]],[1]Log_Réseaux!B:B,[1]Log_Réseaux!D:D),"NA")</f>
        <v>NA</v>
      </c>
    </row>
    <row r="341" spans="1:8" x14ac:dyDescent="0.25">
      <c r="A341" s="6" t="s">
        <v>1135</v>
      </c>
      <c r="B341" s="6" t="s">
        <v>24</v>
      </c>
      <c r="C341" s="6">
        <v>-10.574821</v>
      </c>
      <c r="D341" s="6">
        <v>25.324966</v>
      </c>
      <c r="E341" s="6" t="s">
        <v>796</v>
      </c>
      <c r="F341" s="6" t="s">
        <v>802</v>
      </c>
      <c r="G341" s="7">
        <f>IFERROR(_xlfn.XLOOKUP([1]!Registre[[#This Row],[ID_Antenne]],[1]Log_Réseaux!B:B,[1]Log_Réseaux!C:C),"NA")</f>
        <v>1</v>
      </c>
      <c r="H341" s="7">
        <f>IFERROR(_xlfn.XLOOKUP([1]!Registre[[#This Row],[ID_Antenne]],[1]Log_Réseaux!B:B,[1]Log_Réseaux!D:D),"NA")</f>
        <v>81</v>
      </c>
    </row>
    <row r="342" spans="1:8" x14ac:dyDescent="0.25">
      <c r="A342" s="6" t="s">
        <v>1136</v>
      </c>
      <c r="B342" s="6" t="s">
        <v>97</v>
      </c>
      <c r="C342" s="6">
        <v>1.3006180000000001</v>
      </c>
      <c r="D342" s="6">
        <v>29.060970999999999</v>
      </c>
      <c r="E342" s="6" t="s">
        <v>800</v>
      </c>
      <c r="F342" s="6" t="s">
        <v>791</v>
      </c>
      <c r="G342" s="7">
        <f>IFERROR(_xlfn.XLOOKUP([1]!Registre[[#This Row],[ID_Antenne]],[1]Log_Réseaux!B:B,[1]Log_Réseaux!C:C),"NA")</f>
        <v>2</v>
      </c>
      <c r="H342" s="7">
        <f>IFERROR(_xlfn.XLOOKUP([1]!Registre[[#This Row],[ID_Antenne]],[1]Log_Réseaux!B:B,[1]Log_Réseaux!D:D),"NA")</f>
        <v>140</v>
      </c>
    </row>
    <row r="343" spans="1:8" x14ac:dyDescent="0.25">
      <c r="A343" s="6" t="s">
        <v>1137</v>
      </c>
      <c r="B343" s="6" t="s">
        <v>40</v>
      </c>
      <c r="C343" s="6">
        <v>-12.488033</v>
      </c>
      <c r="D343" s="6">
        <v>16.139648000000001</v>
      </c>
      <c r="E343" s="6" t="s">
        <v>790</v>
      </c>
      <c r="F343" s="6" t="s">
        <v>797</v>
      </c>
      <c r="G343" s="7">
        <f>IFERROR(_xlfn.XLOOKUP([1]!Registre[[#This Row],[ID_Antenne]],[1]Log_Réseaux!B:B,[1]Log_Réseaux!C:C),"NA")</f>
        <v>1</v>
      </c>
      <c r="H343" s="7">
        <f>IFERROR(_xlfn.XLOOKUP([1]!Registre[[#This Row],[ID_Antenne]],[1]Log_Réseaux!B:B,[1]Log_Réseaux!D:D),"NA")</f>
        <v>74</v>
      </c>
    </row>
    <row r="344" spans="1:8" x14ac:dyDescent="0.25">
      <c r="A344" s="6" t="s">
        <v>1138</v>
      </c>
      <c r="B344" s="6" t="s">
        <v>69</v>
      </c>
      <c r="C344" s="6">
        <v>7.6420000000000004E-3</v>
      </c>
      <c r="D344" s="6">
        <v>12.109260000000001</v>
      </c>
      <c r="E344" s="6" t="s">
        <v>790</v>
      </c>
      <c r="F344" s="6" t="s">
        <v>802</v>
      </c>
      <c r="G344" s="7" t="str">
        <f>IFERROR(_xlfn.XLOOKUP([1]!Registre[[#This Row],[ID_Antenne]],[1]Log_Réseaux!B:B,[1]Log_Réseaux!C:C),"NA")</f>
        <v>NA</v>
      </c>
      <c r="H344" s="7" t="str">
        <f>IFERROR(_xlfn.XLOOKUP([1]!Registre[[#This Row],[ID_Antenne]],[1]Log_Réseaux!B:B,[1]Log_Réseaux!D:D),"NA")</f>
        <v>NA</v>
      </c>
    </row>
    <row r="345" spans="1:8" x14ac:dyDescent="0.25">
      <c r="A345" s="6" t="s">
        <v>1139</v>
      </c>
      <c r="B345" s="6" t="s">
        <v>32</v>
      </c>
      <c r="C345" s="6">
        <v>-1.082322</v>
      </c>
      <c r="D345" s="6">
        <v>24.563559999999999</v>
      </c>
      <c r="E345" s="6" t="s">
        <v>790</v>
      </c>
      <c r="F345" s="6" t="s">
        <v>791</v>
      </c>
      <c r="G345" s="7" t="str">
        <f>IFERROR(_xlfn.XLOOKUP([1]!Registre[[#This Row],[ID_Antenne]],[1]Log_Réseaux!B:B,[1]Log_Réseaux!C:C),"NA")</f>
        <v>NA</v>
      </c>
      <c r="H345" s="7" t="str">
        <f>IFERROR(_xlfn.XLOOKUP([1]!Registre[[#This Row],[ID_Antenne]],[1]Log_Réseaux!B:B,[1]Log_Réseaux!D:D),"NA")</f>
        <v>NA</v>
      </c>
    </row>
    <row r="346" spans="1:8" x14ac:dyDescent="0.25">
      <c r="A346" s="6" t="s">
        <v>1140</v>
      </c>
      <c r="B346" s="6" t="s">
        <v>18</v>
      </c>
      <c r="C346" s="6">
        <v>0.16327700000000001</v>
      </c>
      <c r="D346" s="6">
        <v>14.871577</v>
      </c>
      <c r="E346" s="6" t="s">
        <v>790</v>
      </c>
      <c r="F346" s="6" t="s">
        <v>797</v>
      </c>
      <c r="G346" s="7">
        <f>IFERROR(_xlfn.XLOOKUP([1]!Registre[[#This Row],[ID_Antenne]],[1]Log_Réseaux!B:B,[1]Log_Réseaux!C:C),"NA")</f>
        <v>2</v>
      </c>
      <c r="H346" s="7">
        <f>IFERROR(_xlfn.XLOOKUP([1]!Registre[[#This Row],[ID_Antenne]],[1]Log_Réseaux!B:B,[1]Log_Réseaux!D:D),"NA")</f>
        <v>137</v>
      </c>
    </row>
    <row r="347" spans="1:8" x14ac:dyDescent="0.25">
      <c r="A347" s="6" t="s">
        <v>1141</v>
      </c>
      <c r="B347" s="6" t="s">
        <v>40</v>
      </c>
      <c r="C347" s="6">
        <v>-6.9624990000000002</v>
      </c>
      <c r="D347" s="6">
        <v>20.759834999999999</v>
      </c>
      <c r="E347" s="6" t="s">
        <v>790</v>
      </c>
      <c r="F347" s="6" t="s">
        <v>797</v>
      </c>
      <c r="G347" s="7">
        <f>IFERROR(_xlfn.XLOOKUP([1]!Registre[[#This Row],[ID_Antenne]],[1]Log_Réseaux!B:B,[1]Log_Réseaux!C:C),"NA")</f>
        <v>1</v>
      </c>
      <c r="H347" s="7">
        <f>IFERROR(_xlfn.XLOOKUP([1]!Registre[[#This Row],[ID_Antenne]],[1]Log_Réseaux!B:B,[1]Log_Réseaux!D:D),"NA")</f>
        <v>28</v>
      </c>
    </row>
    <row r="348" spans="1:8" x14ac:dyDescent="0.25">
      <c r="A348" s="6" t="s">
        <v>1142</v>
      </c>
      <c r="B348" s="6" t="s">
        <v>62</v>
      </c>
      <c r="C348" s="6">
        <v>-4.9124689999999998</v>
      </c>
      <c r="D348" s="6">
        <v>14.683498999999999</v>
      </c>
      <c r="E348" s="6" t="s">
        <v>800</v>
      </c>
      <c r="F348" s="6" t="s">
        <v>791</v>
      </c>
      <c r="G348" s="7" t="str">
        <f>IFERROR(_xlfn.XLOOKUP([1]!Registre[[#This Row],[ID_Antenne]],[1]Log_Réseaux!B:B,[1]Log_Réseaux!C:C),"NA")</f>
        <v>NA</v>
      </c>
      <c r="H348" s="7" t="str">
        <f>IFERROR(_xlfn.XLOOKUP([1]!Registre[[#This Row],[ID_Antenne]],[1]Log_Réseaux!B:B,[1]Log_Réseaux!D:D),"NA")</f>
        <v>NA</v>
      </c>
    </row>
    <row r="349" spans="1:8" x14ac:dyDescent="0.25">
      <c r="A349" s="6" t="s">
        <v>1143</v>
      </c>
      <c r="B349" s="6" t="s">
        <v>59</v>
      </c>
      <c r="C349" s="6">
        <v>-12.839263000000001</v>
      </c>
      <c r="D349" s="6">
        <v>12.355677</v>
      </c>
      <c r="E349" s="6" t="s">
        <v>800</v>
      </c>
      <c r="F349" s="6" t="s">
        <v>797</v>
      </c>
      <c r="G349" s="7">
        <f>IFERROR(_xlfn.XLOOKUP([1]!Registre[[#This Row],[ID_Antenne]],[1]Log_Réseaux!B:B,[1]Log_Réseaux!C:C),"NA")</f>
        <v>2</v>
      </c>
      <c r="H349" s="7">
        <f>IFERROR(_xlfn.XLOOKUP([1]!Registre[[#This Row],[ID_Antenne]],[1]Log_Réseaux!B:B,[1]Log_Réseaux!D:D),"NA")</f>
        <v>93</v>
      </c>
    </row>
    <row r="350" spans="1:8" x14ac:dyDescent="0.25">
      <c r="A350" s="6" t="s">
        <v>1144</v>
      </c>
      <c r="B350" s="6" t="s">
        <v>65</v>
      </c>
      <c r="C350" s="6">
        <v>-12.88086</v>
      </c>
      <c r="D350" s="6">
        <v>18.862106000000001</v>
      </c>
      <c r="E350" s="6" t="s">
        <v>800</v>
      </c>
      <c r="F350" s="6" t="s">
        <v>793</v>
      </c>
      <c r="G350" s="7" t="str">
        <f>IFERROR(_xlfn.XLOOKUP([1]!Registre[[#This Row],[ID_Antenne]],[1]Log_Réseaux!B:B,[1]Log_Réseaux!C:C),"NA")</f>
        <v>NA</v>
      </c>
      <c r="H350" s="7" t="str">
        <f>IFERROR(_xlfn.XLOOKUP([1]!Registre[[#This Row],[ID_Antenne]],[1]Log_Réseaux!B:B,[1]Log_Réseaux!D:D),"NA")</f>
        <v>NA</v>
      </c>
    </row>
    <row r="351" spans="1:8" x14ac:dyDescent="0.25">
      <c r="A351" s="6" t="s">
        <v>1145</v>
      </c>
      <c r="B351" s="6" t="s">
        <v>6</v>
      </c>
      <c r="C351" s="6">
        <v>-7.0007840000000003</v>
      </c>
      <c r="D351" s="6">
        <v>22.787997000000001</v>
      </c>
      <c r="E351" s="6" t="s">
        <v>796</v>
      </c>
      <c r="F351" s="6" t="s">
        <v>791</v>
      </c>
      <c r="G351" s="7">
        <f>IFERROR(_xlfn.XLOOKUP([1]!Registre[[#This Row],[ID_Antenne]],[1]Log_Réseaux!B:B,[1]Log_Réseaux!C:C),"NA")</f>
        <v>1</v>
      </c>
      <c r="H351" s="7">
        <f>IFERROR(_xlfn.XLOOKUP([1]!Registre[[#This Row],[ID_Antenne]],[1]Log_Réseaux!B:B,[1]Log_Réseaux!D:D),"NA")</f>
        <v>98</v>
      </c>
    </row>
    <row r="352" spans="1:8" x14ac:dyDescent="0.25">
      <c r="A352" s="6" t="s">
        <v>1146</v>
      </c>
      <c r="B352" s="6" t="s">
        <v>15</v>
      </c>
      <c r="C352" s="6">
        <v>-3.89927</v>
      </c>
      <c r="D352" s="6">
        <v>30.273492000000001</v>
      </c>
      <c r="E352" s="6" t="s">
        <v>800</v>
      </c>
      <c r="F352" s="6" t="s">
        <v>793</v>
      </c>
      <c r="G352" s="7" t="str">
        <f>IFERROR(_xlfn.XLOOKUP([1]!Registre[[#This Row],[ID_Antenne]],[1]Log_Réseaux!B:B,[1]Log_Réseaux!C:C),"NA")</f>
        <v>NA</v>
      </c>
      <c r="H352" s="7" t="str">
        <f>IFERROR(_xlfn.XLOOKUP([1]!Registre[[#This Row],[ID_Antenne]],[1]Log_Réseaux!B:B,[1]Log_Réseaux!D:D),"NA")</f>
        <v>NA</v>
      </c>
    </row>
    <row r="353" spans="1:8" x14ac:dyDescent="0.25">
      <c r="A353" s="6" t="s">
        <v>1147</v>
      </c>
      <c r="B353" s="6" t="s">
        <v>46</v>
      </c>
      <c r="C353" s="6">
        <v>3.3222779999999998</v>
      </c>
      <c r="D353" s="6">
        <v>29.497240000000001</v>
      </c>
      <c r="E353" s="6" t="s">
        <v>800</v>
      </c>
      <c r="F353" s="6" t="s">
        <v>791</v>
      </c>
      <c r="G353" s="7" t="str">
        <f>IFERROR(_xlfn.XLOOKUP([1]!Registre[[#This Row],[ID_Antenne]],[1]Log_Réseaux!B:B,[1]Log_Réseaux!C:C),"NA")</f>
        <v>NA</v>
      </c>
      <c r="H353" s="7" t="str">
        <f>IFERROR(_xlfn.XLOOKUP([1]!Registre[[#This Row],[ID_Antenne]],[1]Log_Réseaux!B:B,[1]Log_Réseaux!D:D),"NA")</f>
        <v>NA</v>
      </c>
    </row>
    <row r="354" spans="1:8" x14ac:dyDescent="0.25">
      <c r="A354" s="6" t="s">
        <v>1148</v>
      </c>
      <c r="B354" s="6" t="s">
        <v>62</v>
      </c>
      <c r="C354" s="6">
        <v>-9.7712979999999998</v>
      </c>
      <c r="D354" s="6">
        <v>19.827895999999999</v>
      </c>
      <c r="E354" s="6" t="s">
        <v>800</v>
      </c>
      <c r="F354" s="6" t="s">
        <v>791</v>
      </c>
      <c r="G354" s="7">
        <f>IFERROR(_xlfn.XLOOKUP([1]!Registre[[#This Row],[ID_Antenne]],[1]Log_Réseaux!B:B,[1]Log_Réseaux!C:C),"NA")</f>
        <v>3</v>
      </c>
      <c r="H354" s="7">
        <f>IFERROR(_xlfn.XLOOKUP([1]!Registre[[#This Row],[ID_Antenne]],[1]Log_Réseaux!B:B,[1]Log_Réseaux!D:D),"NA")</f>
        <v>139</v>
      </c>
    </row>
    <row r="355" spans="1:8" x14ac:dyDescent="0.25">
      <c r="A355" s="6" t="s">
        <v>1149</v>
      </c>
      <c r="B355" s="6" t="s">
        <v>48</v>
      </c>
      <c r="C355" s="6">
        <v>-12.050063</v>
      </c>
      <c r="D355" s="6">
        <v>26.636987999999999</v>
      </c>
      <c r="E355" s="6" t="s">
        <v>800</v>
      </c>
      <c r="F355" s="6" t="s">
        <v>793</v>
      </c>
      <c r="G355" s="7">
        <f>IFERROR(_xlfn.XLOOKUP([1]!Registre[[#This Row],[ID_Antenne]],[1]Log_Réseaux!B:B,[1]Log_Réseaux!C:C),"NA")</f>
        <v>2</v>
      </c>
      <c r="H355" s="7">
        <f>IFERROR(_xlfn.XLOOKUP([1]!Registre[[#This Row],[ID_Antenne]],[1]Log_Réseaux!B:B,[1]Log_Réseaux!D:D),"NA")</f>
        <v>128</v>
      </c>
    </row>
    <row r="356" spans="1:8" x14ac:dyDescent="0.25">
      <c r="A356" s="6" t="s">
        <v>1150</v>
      </c>
      <c r="B356" s="6" t="s">
        <v>12</v>
      </c>
      <c r="C356" s="6">
        <v>-11.407966</v>
      </c>
      <c r="D356" s="6">
        <v>28.378274000000001</v>
      </c>
      <c r="E356" s="6" t="s">
        <v>790</v>
      </c>
      <c r="F356" s="6" t="s">
        <v>791</v>
      </c>
      <c r="G356" s="7">
        <f>IFERROR(_xlfn.XLOOKUP([1]!Registre[[#This Row],[ID_Antenne]],[1]Log_Réseaux!B:B,[1]Log_Réseaux!C:C),"NA")</f>
        <v>2</v>
      </c>
      <c r="H356" s="7">
        <f>IFERROR(_xlfn.XLOOKUP([1]!Registre[[#This Row],[ID_Antenne]],[1]Log_Réseaux!B:B,[1]Log_Réseaux!D:D),"NA")</f>
        <v>226</v>
      </c>
    </row>
    <row r="357" spans="1:8" x14ac:dyDescent="0.25">
      <c r="A357" s="6" t="s">
        <v>1151</v>
      </c>
      <c r="B357" s="6" t="s">
        <v>59</v>
      </c>
      <c r="C357" s="6">
        <v>-0.37665700000000002</v>
      </c>
      <c r="D357" s="6">
        <v>25.154807999999999</v>
      </c>
      <c r="E357" s="6" t="s">
        <v>800</v>
      </c>
      <c r="F357" s="6" t="s">
        <v>793</v>
      </c>
      <c r="G357" s="7">
        <f>IFERROR(_xlfn.XLOOKUP([1]!Registre[[#This Row],[ID_Antenne]],[1]Log_Réseaux!B:B,[1]Log_Réseaux!C:C),"NA")</f>
        <v>1</v>
      </c>
      <c r="H357" s="7">
        <f>IFERROR(_xlfn.XLOOKUP([1]!Registre[[#This Row],[ID_Antenne]],[1]Log_Réseaux!B:B,[1]Log_Réseaux!D:D),"NA")</f>
        <v>68</v>
      </c>
    </row>
    <row r="358" spans="1:8" x14ac:dyDescent="0.25">
      <c r="A358" s="6" t="s">
        <v>1152</v>
      </c>
      <c r="B358" s="6" t="s">
        <v>15</v>
      </c>
      <c r="C358" s="6">
        <v>1.981107</v>
      </c>
      <c r="D358" s="6">
        <v>23.932569000000001</v>
      </c>
      <c r="E358" s="6" t="s">
        <v>800</v>
      </c>
      <c r="F358" s="6" t="s">
        <v>793</v>
      </c>
      <c r="G358" s="7">
        <f>IFERROR(_xlfn.XLOOKUP([1]!Registre[[#This Row],[ID_Antenne]],[1]Log_Réseaux!B:B,[1]Log_Réseaux!C:C),"NA")</f>
        <v>3</v>
      </c>
      <c r="H358" s="7">
        <f>IFERROR(_xlfn.XLOOKUP([1]!Registre[[#This Row],[ID_Antenne]],[1]Log_Réseaux!B:B,[1]Log_Réseaux!D:D),"NA")</f>
        <v>295</v>
      </c>
    </row>
    <row r="359" spans="1:8" x14ac:dyDescent="0.25">
      <c r="A359" s="6" t="s">
        <v>1153</v>
      </c>
      <c r="B359" s="6" t="s">
        <v>72</v>
      </c>
      <c r="C359" s="6">
        <v>-7.9987219999999999</v>
      </c>
      <c r="D359" s="6">
        <v>12.779335</v>
      </c>
      <c r="E359" s="6" t="s">
        <v>796</v>
      </c>
      <c r="F359" s="6" t="s">
        <v>793</v>
      </c>
      <c r="G359" s="7">
        <f>IFERROR(_xlfn.XLOOKUP([1]!Registre[[#This Row],[ID_Antenne]],[1]Log_Réseaux!B:B,[1]Log_Réseaux!C:C),"NA")</f>
        <v>3</v>
      </c>
      <c r="H359" s="7">
        <f>IFERROR(_xlfn.XLOOKUP([1]!Registre[[#This Row],[ID_Antenne]],[1]Log_Réseaux!B:B,[1]Log_Réseaux!D:D),"NA")</f>
        <v>187</v>
      </c>
    </row>
    <row r="360" spans="1:8" x14ac:dyDescent="0.25">
      <c r="A360" s="6" t="s">
        <v>1154</v>
      </c>
      <c r="B360" s="6" t="s">
        <v>6</v>
      </c>
      <c r="C360" s="6">
        <v>-3.9148719999999999</v>
      </c>
      <c r="D360" s="6">
        <v>12.260933</v>
      </c>
      <c r="E360" s="6" t="s">
        <v>790</v>
      </c>
      <c r="F360" s="6" t="s">
        <v>802</v>
      </c>
      <c r="G360" s="7">
        <f>IFERROR(_xlfn.XLOOKUP([1]!Registre[[#This Row],[ID_Antenne]],[1]Log_Réseaux!B:B,[1]Log_Réseaux!C:C),"NA")</f>
        <v>1</v>
      </c>
      <c r="H360" s="7">
        <f>IFERROR(_xlfn.XLOOKUP([1]!Registre[[#This Row],[ID_Antenne]],[1]Log_Réseaux!B:B,[1]Log_Réseaux!D:D),"NA")</f>
        <v>65</v>
      </c>
    </row>
    <row r="361" spans="1:8" x14ac:dyDescent="0.25">
      <c r="A361" s="6" t="s">
        <v>1155</v>
      </c>
      <c r="B361" s="6" t="s">
        <v>69</v>
      </c>
      <c r="C361" s="6">
        <v>-12.333232000000001</v>
      </c>
      <c r="D361" s="6">
        <v>25.229620000000001</v>
      </c>
      <c r="E361" s="6" t="s">
        <v>796</v>
      </c>
      <c r="F361" s="6" t="s">
        <v>793</v>
      </c>
      <c r="G361" s="7">
        <f>IFERROR(_xlfn.XLOOKUP([1]!Registre[[#This Row],[ID_Antenne]],[1]Log_Réseaux!B:B,[1]Log_Réseaux!C:C),"NA")</f>
        <v>1</v>
      </c>
      <c r="H361" s="7">
        <f>IFERROR(_xlfn.XLOOKUP([1]!Registre[[#This Row],[ID_Antenne]],[1]Log_Réseaux!B:B,[1]Log_Réseaux!D:D),"NA")</f>
        <v>90</v>
      </c>
    </row>
    <row r="362" spans="1:8" x14ac:dyDescent="0.25">
      <c r="A362" s="6" t="s">
        <v>1156</v>
      </c>
      <c r="B362" s="6" t="s">
        <v>46</v>
      </c>
      <c r="C362" s="6">
        <v>-5.8352820000000003</v>
      </c>
      <c r="D362" s="6">
        <v>26.603978000000001</v>
      </c>
      <c r="E362" s="6" t="s">
        <v>790</v>
      </c>
      <c r="F362" s="6" t="s">
        <v>797</v>
      </c>
      <c r="G362" s="7">
        <f>IFERROR(_xlfn.XLOOKUP([1]!Registre[[#This Row],[ID_Antenne]],[1]Log_Réseaux!B:B,[1]Log_Réseaux!C:C),"NA")</f>
        <v>1</v>
      </c>
      <c r="H362" s="7">
        <f>IFERROR(_xlfn.XLOOKUP([1]!Registre[[#This Row],[ID_Antenne]],[1]Log_Réseaux!B:B,[1]Log_Réseaux!D:D),"NA")</f>
        <v>74</v>
      </c>
    </row>
    <row r="363" spans="1:8" x14ac:dyDescent="0.25">
      <c r="A363" s="6" t="s">
        <v>1157</v>
      </c>
      <c r="B363" s="6" t="s">
        <v>30</v>
      </c>
      <c r="C363" s="6">
        <v>-4.2784089999999999</v>
      </c>
      <c r="D363" s="6">
        <v>22.871994000000001</v>
      </c>
      <c r="E363" s="6" t="s">
        <v>800</v>
      </c>
      <c r="F363" s="6" t="s">
        <v>802</v>
      </c>
      <c r="G363" s="7" t="str">
        <f>IFERROR(_xlfn.XLOOKUP([1]!Registre[[#This Row],[ID_Antenne]],[1]Log_Réseaux!B:B,[1]Log_Réseaux!C:C),"NA")</f>
        <v>NA</v>
      </c>
      <c r="H363" s="7" t="str">
        <f>IFERROR(_xlfn.XLOOKUP([1]!Registre[[#This Row],[ID_Antenne]],[1]Log_Réseaux!B:B,[1]Log_Réseaux!D:D),"NA")</f>
        <v>NA</v>
      </c>
    </row>
    <row r="364" spans="1:8" x14ac:dyDescent="0.25">
      <c r="A364" s="6" t="s">
        <v>1158</v>
      </c>
      <c r="B364" s="6" t="s">
        <v>15</v>
      </c>
      <c r="C364" s="6">
        <v>-2.8211520000000001</v>
      </c>
      <c r="D364" s="6">
        <v>20.651419000000001</v>
      </c>
      <c r="E364" s="6" t="s">
        <v>796</v>
      </c>
      <c r="F364" s="6" t="s">
        <v>802</v>
      </c>
      <c r="G364" s="7">
        <f>IFERROR(_xlfn.XLOOKUP([1]!Registre[[#This Row],[ID_Antenne]],[1]Log_Réseaux!B:B,[1]Log_Réseaux!C:C),"NA")</f>
        <v>5</v>
      </c>
      <c r="H364" s="7">
        <f>IFERROR(_xlfn.XLOOKUP([1]!Registre[[#This Row],[ID_Antenne]],[1]Log_Réseaux!B:B,[1]Log_Réseaux!D:D),"NA")</f>
        <v>389</v>
      </c>
    </row>
    <row r="365" spans="1:8" x14ac:dyDescent="0.25">
      <c r="A365" s="6" t="s">
        <v>1159</v>
      </c>
      <c r="B365" s="6" t="s">
        <v>6</v>
      </c>
      <c r="C365" s="6">
        <v>-10.439686999999999</v>
      </c>
      <c r="D365" s="6">
        <v>20.714210000000001</v>
      </c>
      <c r="E365" s="6" t="s">
        <v>790</v>
      </c>
      <c r="F365" s="6" t="s">
        <v>791</v>
      </c>
      <c r="G365" s="7">
        <f>IFERROR(_xlfn.XLOOKUP([1]!Registre[[#This Row],[ID_Antenne]],[1]Log_Réseaux!B:B,[1]Log_Réseaux!C:C),"NA")</f>
        <v>1</v>
      </c>
      <c r="H365" s="7">
        <f>IFERROR(_xlfn.XLOOKUP([1]!Registre[[#This Row],[ID_Antenne]],[1]Log_Réseaux!B:B,[1]Log_Réseaux!D:D),"NA")</f>
        <v>60</v>
      </c>
    </row>
    <row r="366" spans="1:8" x14ac:dyDescent="0.25">
      <c r="A366" s="6" t="s">
        <v>1160</v>
      </c>
      <c r="B366" s="6" t="s">
        <v>30</v>
      </c>
      <c r="C366" s="6">
        <v>1.5601240000000001</v>
      </c>
      <c r="D366" s="6">
        <v>12.225398</v>
      </c>
      <c r="E366" s="6" t="s">
        <v>796</v>
      </c>
      <c r="F366" s="6" t="s">
        <v>793</v>
      </c>
      <c r="G366" s="7" t="str">
        <f>IFERROR(_xlfn.XLOOKUP([1]!Registre[[#This Row],[ID_Antenne]],[1]Log_Réseaux!B:B,[1]Log_Réseaux!C:C),"NA")</f>
        <v>NA</v>
      </c>
      <c r="H366" s="7" t="str">
        <f>IFERROR(_xlfn.XLOOKUP([1]!Registre[[#This Row],[ID_Antenne]],[1]Log_Réseaux!B:B,[1]Log_Réseaux!D:D),"NA")</f>
        <v>NA</v>
      </c>
    </row>
    <row r="367" spans="1:8" x14ac:dyDescent="0.25">
      <c r="A367" s="6" t="s">
        <v>1161</v>
      </c>
      <c r="B367" s="6" t="s">
        <v>18</v>
      </c>
      <c r="C367" s="6">
        <v>-3.2700629999999999</v>
      </c>
      <c r="D367" s="6">
        <v>26.520330000000001</v>
      </c>
      <c r="E367" s="6" t="s">
        <v>796</v>
      </c>
      <c r="F367" s="6" t="s">
        <v>793</v>
      </c>
      <c r="G367" s="7" t="str">
        <f>IFERROR(_xlfn.XLOOKUP([1]!Registre[[#This Row],[ID_Antenne]],[1]Log_Réseaux!B:B,[1]Log_Réseaux!C:C),"NA")</f>
        <v>NA</v>
      </c>
      <c r="H367" s="7" t="str">
        <f>IFERROR(_xlfn.XLOOKUP([1]!Registre[[#This Row],[ID_Antenne]],[1]Log_Réseaux!B:B,[1]Log_Réseaux!D:D),"NA")</f>
        <v>NA</v>
      </c>
    </row>
    <row r="368" spans="1:8" x14ac:dyDescent="0.25">
      <c r="A368" s="6" t="s">
        <v>1162</v>
      </c>
      <c r="B368" s="6" t="s">
        <v>105</v>
      </c>
      <c r="C368" s="6">
        <v>2.6937519999999999</v>
      </c>
      <c r="D368" s="6">
        <v>26.524137</v>
      </c>
      <c r="E368" s="6" t="s">
        <v>800</v>
      </c>
      <c r="F368" s="6" t="s">
        <v>802</v>
      </c>
      <c r="G368" s="7" t="str">
        <f>IFERROR(_xlfn.XLOOKUP([1]!Registre[[#This Row],[ID_Antenne]],[1]Log_Réseaux!B:B,[1]Log_Réseaux!C:C),"NA")</f>
        <v>NA</v>
      </c>
      <c r="H368" s="7" t="str">
        <f>IFERROR(_xlfn.XLOOKUP([1]!Registre[[#This Row],[ID_Antenne]],[1]Log_Réseaux!B:B,[1]Log_Réseaux!D:D),"NA")</f>
        <v>NA</v>
      </c>
    </row>
    <row r="369" spans="1:8" x14ac:dyDescent="0.25">
      <c r="A369" s="6" t="s">
        <v>1163</v>
      </c>
      <c r="B369" s="6" t="s">
        <v>38</v>
      </c>
      <c r="C369" s="6">
        <v>2.453036</v>
      </c>
      <c r="D369" s="6">
        <v>20.555484</v>
      </c>
      <c r="E369" s="6" t="s">
        <v>796</v>
      </c>
      <c r="F369" s="6" t="s">
        <v>802</v>
      </c>
      <c r="G369" s="7">
        <f>IFERROR(_xlfn.XLOOKUP([1]!Registre[[#This Row],[ID_Antenne]],[1]Log_Réseaux!B:B,[1]Log_Réseaux!C:C),"NA")</f>
        <v>2</v>
      </c>
      <c r="H369" s="7">
        <f>IFERROR(_xlfn.XLOOKUP([1]!Registre[[#This Row],[ID_Antenne]],[1]Log_Réseaux!B:B,[1]Log_Réseaux!D:D),"NA")</f>
        <v>229</v>
      </c>
    </row>
    <row r="370" spans="1:8" x14ac:dyDescent="0.25">
      <c r="A370" s="6" t="s">
        <v>1164</v>
      </c>
      <c r="B370" s="6" t="s">
        <v>59</v>
      </c>
      <c r="C370" s="6">
        <v>-1.1284540000000001</v>
      </c>
      <c r="D370" s="6">
        <v>23.000360000000001</v>
      </c>
      <c r="E370" s="6" t="s">
        <v>796</v>
      </c>
      <c r="F370" s="6" t="s">
        <v>802</v>
      </c>
      <c r="G370" s="7">
        <f>IFERROR(_xlfn.XLOOKUP([1]!Registre[[#This Row],[ID_Antenne]],[1]Log_Réseaux!B:B,[1]Log_Réseaux!C:C),"NA")</f>
        <v>1</v>
      </c>
      <c r="H370" s="7">
        <f>IFERROR(_xlfn.XLOOKUP([1]!Registre[[#This Row],[ID_Antenne]],[1]Log_Réseaux!B:B,[1]Log_Réseaux!D:D),"NA")</f>
        <v>94</v>
      </c>
    </row>
    <row r="371" spans="1:8" x14ac:dyDescent="0.25">
      <c r="A371" s="6" t="s">
        <v>1165</v>
      </c>
      <c r="B371" s="6" t="s">
        <v>69</v>
      </c>
      <c r="C371" s="6">
        <v>-1.3976519999999999</v>
      </c>
      <c r="D371" s="6">
        <v>14.098819000000001</v>
      </c>
      <c r="E371" s="6" t="s">
        <v>800</v>
      </c>
      <c r="F371" s="6" t="s">
        <v>802</v>
      </c>
      <c r="G371" s="7">
        <f>IFERROR(_xlfn.XLOOKUP([1]!Registre[[#This Row],[ID_Antenne]],[1]Log_Réseaux!B:B,[1]Log_Réseaux!C:C),"NA")</f>
        <v>1</v>
      </c>
      <c r="H371" s="7">
        <f>IFERROR(_xlfn.XLOOKUP([1]!Registre[[#This Row],[ID_Antenne]],[1]Log_Réseaux!B:B,[1]Log_Réseaux!D:D),"NA")</f>
        <v>55</v>
      </c>
    </row>
    <row r="372" spans="1:8" x14ac:dyDescent="0.25">
      <c r="A372" s="6" t="s">
        <v>1166</v>
      </c>
      <c r="B372" s="6" t="s">
        <v>34</v>
      </c>
      <c r="C372" s="6">
        <v>-1.4695480000000001</v>
      </c>
      <c r="D372" s="6">
        <v>20.876676</v>
      </c>
      <c r="E372" s="6" t="s">
        <v>796</v>
      </c>
      <c r="F372" s="6" t="s">
        <v>802</v>
      </c>
      <c r="G372" s="7" t="str">
        <f>IFERROR(_xlfn.XLOOKUP([1]!Registre[[#This Row],[ID_Antenne]],[1]Log_Réseaux!B:B,[1]Log_Réseaux!C:C),"NA")</f>
        <v>NA</v>
      </c>
      <c r="H372" s="7" t="str">
        <f>IFERROR(_xlfn.XLOOKUP([1]!Registre[[#This Row],[ID_Antenne]],[1]Log_Réseaux!B:B,[1]Log_Réseaux!D:D),"NA")</f>
        <v>NA</v>
      </c>
    </row>
    <row r="373" spans="1:8" x14ac:dyDescent="0.25">
      <c r="A373" s="6" t="s">
        <v>1167</v>
      </c>
      <c r="B373" s="6" t="s">
        <v>32</v>
      </c>
      <c r="C373" s="6">
        <v>-3.3883130000000001</v>
      </c>
      <c r="D373" s="6">
        <v>26.838507</v>
      </c>
      <c r="E373" s="6" t="s">
        <v>796</v>
      </c>
      <c r="F373" s="6" t="s">
        <v>793</v>
      </c>
      <c r="G373" s="7" t="str">
        <f>IFERROR(_xlfn.XLOOKUP([1]!Registre[[#This Row],[ID_Antenne]],[1]Log_Réseaux!B:B,[1]Log_Réseaux!C:C),"NA")</f>
        <v>NA</v>
      </c>
      <c r="H373" s="7" t="str">
        <f>IFERROR(_xlfn.XLOOKUP([1]!Registre[[#This Row],[ID_Antenne]],[1]Log_Réseaux!B:B,[1]Log_Réseaux!D:D),"NA")</f>
        <v>NA</v>
      </c>
    </row>
    <row r="374" spans="1:8" x14ac:dyDescent="0.25">
      <c r="A374" s="6" t="s">
        <v>1168</v>
      </c>
      <c r="B374" s="6" t="s">
        <v>44</v>
      </c>
      <c r="C374" s="6">
        <v>-5.1507670000000001</v>
      </c>
      <c r="D374" s="6">
        <v>28.075324999999999</v>
      </c>
      <c r="E374" s="6" t="s">
        <v>796</v>
      </c>
      <c r="F374" s="6" t="s">
        <v>797</v>
      </c>
      <c r="G374" s="7">
        <f>IFERROR(_xlfn.XLOOKUP([1]!Registre[[#This Row],[ID_Antenne]],[1]Log_Réseaux!B:B,[1]Log_Réseaux!C:C),"NA")</f>
        <v>1</v>
      </c>
      <c r="H374" s="7">
        <f>IFERROR(_xlfn.XLOOKUP([1]!Registre[[#This Row],[ID_Antenne]],[1]Log_Réseaux!B:B,[1]Log_Réseaux!D:D),"NA")</f>
        <v>106</v>
      </c>
    </row>
    <row r="375" spans="1:8" x14ac:dyDescent="0.25">
      <c r="A375" s="6" t="s">
        <v>1169</v>
      </c>
      <c r="B375" s="6" t="s">
        <v>40</v>
      </c>
      <c r="C375" s="6">
        <v>-11.924048000000001</v>
      </c>
      <c r="D375" s="6">
        <v>24.177174999999998</v>
      </c>
      <c r="E375" s="6" t="s">
        <v>800</v>
      </c>
      <c r="F375" s="6" t="s">
        <v>793</v>
      </c>
      <c r="G375" s="7">
        <f>IFERROR(_xlfn.XLOOKUP([1]!Registre[[#This Row],[ID_Antenne]],[1]Log_Réseaux!B:B,[1]Log_Réseaux!C:C),"NA")</f>
        <v>1</v>
      </c>
      <c r="H375" s="7">
        <f>IFERROR(_xlfn.XLOOKUP([1]!Registre[[#This Row],[ID_Antenne]],[1]Log_Réseaux!B:B,[1]Log_Réseaux!D:D),"NA")</f>
        <v>67</v>
      </c>
    </row>
    <row r="376" spans="1:8" x14ac:dyDescent="0.25">
      <c r="A376" s="6" t="s">
        <v>1170</v>
      </c>
      <c r="B376" s="6" t="s">
        <v>22</v>
      </c>
      <c r="C376" s="6">
        <v>-9.8519260000000006</v>
      </c>
      <c r="D376" s="6">
        <v>12.925583</v>
      </c>
      <c r="E376" s="6" t="s">
        <v>796</v>
      </c>
      <c r="F376" s="6" t="s">
        <v>802</v>
      </c>
      <c r="G376" s="7" t="str">
        <f>IFERROR(_xlfn.XLOOKUP([1]!Registre[[#This Row],[ID_Antenne]],[1]Log_Réseaux!B:B,[1]Log_Réseaux!C:C),"NA")</f>
        <v>NA</v>
      </c>
      <c r="H376" s="7" t="str">
        <f>IFERROR(_xlfn.XLOOKUP([1]!Registre[[#This Row],[ID_Antenne]],[1]Log_Réseaux!B:B,[1]Log_Réseaux!D:D),"NA")</f>
        <v>NA</v>
      </c>
    </row>
    <row r="377" spans="1:8" x14ac:dyDescent="0.25">
      <c r="A377" s="6" t="s">
        <v>1171</v>
      </c>
      <c r="B377" s="6" t="s">
        <v>156</v>
      </c>
      <c r="C377" s="6">
        <v>-7.4679279999999997</v>
      </c>
      <c r="D377" s="6">
        <v>19.828595</v>
      </c>
      <c r="E377" s="6" t="s">
        <v>796</v>
      </c>
      <c r="F377" s="6" t="s">
        <v>793</v>
      </c>
      <c r="G377" s="7" t="str">
        <f>IFERROR(_xlfn.XLOOKUP([1]!Registre[[#This Row],[ID_Antenne]],[1]Log_Réseaux!B:B,[1]Log_Réseaux!C:C),"NA")</f>
        <v>NA</v>
      </c>
      <c r="H377" s="7" t="str">
        <f>IFERROR(_xlfn.XLOOKUP([1]!Registre[[#This Row],[ID_Antenne]],[1]Log_Réseaux!B:B,[1]Log_Réseaux!D:D),"NA")</f>
        <v>NA</v>
      </c>
    </row>
    <row r="378" spans="1:8" x14ac:dyDescent="0.25">
      <c r="A378" s="6" t="s">
        <v>1172</v>
      </c>
      <c r="B378" s="6" t="s">
        <v>105</v>
      </c>
      <c r="C378" s="6">
        <v>-2.7140689999999998</v>
      </c>
      <c r="D378" s="6">
        <v>22.222104000000002</v>
      </c>
      <c r="E378" s="6" t="s">
        <v>790</v>
      </c>
      <c r="F378" s="6" t="s">
        <v>793</v>
      </c>
      <c r="G378" s="7">
        <f>IFERROR(_xlfn.XLOOKUP([1]!Registre[[#This Row],[ID_Antenne]],[1]Log_Réseaux!B:B,[1]Log_Réseaux!C:C),"NA")</f>
        <v>1</v>
      </c>
      <c r="H378" s="7">
        <f>IFERROR(_xlfn.XLOOKUP([1]!Registre[[#This Row],[ID_Antenne]],[1]Log_Réseaux!B:B,[1]Log_Réseaux!D:D),"NA")</f>
        <v>72</v>
      </c>
    </row>
    <row r="379" spans="1:8" x14ac:dyDescent="0.25">
      <c r="A379" s="6" t="s">
        <v>1173</v>
      </c>
      <c r="B379" s="6" t="s">
        <v>6</v>
      </c>
      <c r="C379" s="6">
        <v>-9.9565739999999998</v>
      </c>
      <c r="D379" s="6">
        <v>21.017202000000001</v>
      </c>
      <c r="E379" s="6" t="s">
        <v>790</v>
      </c>
      <c r="F379" s="6" t="s">
        <v>797</v>
      </c>
      <c r="G379" s="7">
        <f>IFERROR(_xlfn.XLOOKUP([1]!Registre[[#This Row],[ID_Antenne]],[1]Log_Réseaux!B:B,[1]Log_Réseaux!C:C),"NA")</f>
        <v>1</v>
      </c>
      <c r="H379" s="7">
        <f>IFERROR(_xlfn.XLOOKUP([1]!Registre[[#This Row],[ID_Antenne]],[1]Log_Réseaux!B:B,[1]Log_Réseaux!D:D),"NA")</f>
        <v>110</v>
      </c>
    </row>
    <row r="380" spans="1:8" x14ac:dyDescent="0.25">
      <c r="A380" s="6" t="s">
        <v>1174</v>
      </c>
      <c r="B380" s="6" t="s">
        <v>105</v>
      </c>
      <c r="C380" s="6">
        <v>-7.9799689999999996</v>
      </c>
      <c r="D380" s="6">
        <v>21.042310000000001</v>
      </c>
      <c r="E380" s="6" t="s">
        <v>790</v>
      </c>
      <c r="F380" s="6" t="s">
        <v>791</v>
      </c>
      <c r="G380" s="7" t="str">
        <f>IFERROR(_xlfn.XLOOKUP([1]!Registre[[#This Row],[ID_Antenne]],[1]Log_Réseaux!B:B,[1]Log_Réseaux!C:C),"NA")</f>
        <v>NA</v>
      </c>
      <c r="H380" s="7" t="str">
        <f>IFERROR(_xlfn.XLOOKUP([1]!Registre[[#This Row],[ID_Antenne]],[1]Log_Réseaux!B:B,[1]Log_Réseaux!D:D),"NA")</f>
        <v>NA</v>
      </c>
    </row>
    <row r="381" spans="1:8" x14ac:dyDescent="0.25">
      <c r="A381" s="6" t="s">
        <v>1175</v>
      </c>
      <c r="B381" s="6" t="s">
        <v>9</v>
      </c>
      <c r="C381" s="6">
        <v>2.4741019999999998</v>
      </c>
      <c r="D381" s="6">
        <v>29.297391000000001</v>
      </c>
      <c r="E381" s="6" t="s">
        <v>790</v>
      </c>
      <c r="F381" s="6" t="s">
        <v>802</v>
      </c>
      <c r="G381" s="7">
        <f>IFERROR(_xlfn.XLOOKUP([1]!Registre[[#This Row],[ID_Antenne]],[1]Log_Réseaux!B:B,[1]Log_Réseaux!C:C),"NA")</f>
        <v>3</v>
      </c>
      <c r="H381" s="7">
        <f>IFERROR(_xlfn.XLOOKUP([1]!Registre[[#This Row],[ID_Antenne]],[1]Log_Réseaux!B:B,[1]Log_Réseaux!D:D),"NA")</f>
        <v>217</v>
      </c>
    </row>
    <row r="382" spans="1:8" x14ac:dyDescent="0.25">
      <c r="A382" s="6" t="s">
        <v>1176</v>
      </c>
      <c r="B382" s="6" t="s">
        <v>22</v>
      </c>
      <c r="C382" s="6">
        <v>1.5278670000000001</v>
      </c>
      <c r="D382" s="6">
        <v>13.899388999999999</v>
      </c>
      <c r="E382" s="6" t="s">
        <v>800</v>
      </c>
      <c r="F382" s="6" t="s">
        <v>797</v>
      </c>
      <c r="G382" s="7">
        <f>IFERROR(_xlfn.XLOOKUP([1]!Registre[[#This Row],[ID_Antenne]],[1]Log_Réseaux!B:B,[1]Log_Réseaux!C:C),"NA")</f>
        <v>5</v>
      </c>
      <c r="H382" s="7">
        <f>IFERROR(_xlfn.XLOOKUP([1]!Registre[[#This Row],[ID_Antenne]],[1]Log_Réseaux!B:B,[1]Log_Réseaux!D:D),"NA")</f>
        <v>273</v>
      </c>
    </row>
    <row r="383" spans="1:8" x14ac:dyDescent="0.25">
      <c r="A383" s="6" t="s">
        <v>1177</v>
      </c>
      <c r="B383" s="6" t="s">
        <v>42</v>
      </c>
      <c r="C383" s="6">
        <v>1.102554</v>
      </c>
      <c r="D383" s="6">
        <v>26.744315</v>
      </c>
      <c r="E383" s="6" t="s">
        <v>800</v>
      </c>
      <c r="F383" s="6" t="s">
        <v>802</v>
      </c>
      <c r="G383" s="7" t="str">
        <f>IFERROR(_xlfn.XLOOKUP([1]!Registre[[#This Row],[ID_Antenne]],[1]Log_Réseaux!B:B,[1]Log_Réseaux!C:C),"NA")</f>
        <v>NA</v>
      </c>
      <c r="H383" s="7" t="str">
        <f>IFERROR(_xlfn.XLOOKUP([1]!Registre[[#This Row],[ID_Antenne]],[1]Log_Réseaux!B:B,[1]Log_Réseaux!D:D),"NA")</f>
        <v>NA</v>
      </c>
    </row>
    <row r="384" spans="1:8" x14ac:dyDescent="0.25">
      <c r="A384" s="6" t="s">
        <v>1178</v>
      </c>
      <c r="B384" s="6" t="s">
        <v>18</v>
      </c>
      <c r="C384" s="6">
        <v>4.6701629999999996</v>
      </c>
      <c r="D384" s="6">
        <v>28.596363</v>
      </c>
      <c r="E384" s="6" t="s">
        <v>796</v>
      </c>
      <c r="F384" s="6" t="s">
        <v>802</v>
      </c>
      <c r="G384" s="7" t="str">
        <f>IFERROR(_xlfn.XLOOKUP([1]!Registre[[#This Row],[ID_Antenne]],[1]Log_Réseaux!B:B,[1]Log_Réseaux!C:C),"NA")</f>
        <v>NA</v>
      </c>
      <c r="H384" s="7" t="str">
        <f>IFERROR(_xlfn.XLOOKUP([1]!Registre[[#This Row],[ID_Antenne]],[1]Log_Réseaux!B:B,[1]Log_Réseaux!D:D),"NA")</f>
        <v>NA</v>
      </c>
    </row>
    <row r="385" spans="1:8" x14ac:dyDescent="0.25">
      <c r="A385" s="6" t="s">
        <v>1179</v>
      </c>
      <c r="B385" s="6" t="s">
        <v>48</v>
      </c>
      <c r="C385" s="6">
        <v>-12.342053999999999</v>
      </c>
      <c r="D385" s="6">
        <v>18.756862000000002</v>
      </c>
      <c r="E385" s="6" t="s">
        <v>800</v>
      </c>
      <c r="F385" s="6" t="s">
        <v>802</v>
      </c>
      <c r="G385" s="7">
        <f>IFERROR(_xlfn.XLOOKUP([1]!Registre[[#This Row],[ID_Antenne]],[1]Log_Réseaux!B:B,[1]Log_Réseaux!C:C),"NA")</f>
        <v>2</v>
      </c>
      <c r="H385" s="7">
        <f>IFERROR(_xlfn.XLOOKUP([1]!Registre[[#This Row],[ID_Antenne]],[1]Log_Réseaux!B:B,[1]Log_Réseaux!D:D),"NA")</f>
        <v>88</v>
      </c>
    </row>
    <row r="386" spans="1:8" x14ac:dyDescent="0.25">
      <c r="A386" s="6" t="s">
        <v>1180</v>
      </c>
      <c r="B386" s="6" t="s">
        <v>42</v>
      </c>
      <c r="C386" s="6">
        <v>1.5802860000000001</v>
      </c>
      <c r="D386" s="6">
        <v>20.99053</v>
      </c>
      <c r="E386" s="6" t="s">
        <v>790</v>
      </c>
      <c r="F386" s="6" t="s">
        <v>791</v>
      </c>
      <c r="G386" s="7">
        <f>IFERROR(_xlfn.XLOOKUP([1]!Registre[[#This Row],[ID_Antenne]],[1]Log_Réseaux!B:B,[1]Log_Réseaux!C:C),"NA")</f>
        <v>2</v>
      </c>
      <c r="H386" s="7">
        <f>IFERROR(_xlfn.XLOOKUP([1]!Registre[[#This Row],[ID_Antenne]],[1]Log_Réseaux!B:B,[1]Log_Réseaux!D:D),"NA")</f>
        <v>103</v>
      </c>
    </row>
    <row r="387" spans="1:8" x14ac:dyDescent="0.25">
      <c r="A387" s="6" t="s">
        <v>1181</v>
      </c>
      <c r="B387" s="6" t="s">
        <v>46</v>
      </c>
      <c r="C387" s="6">
        <v>-12.086929</v>
      </c>
      <c r="D387" s="6">
        <v>14.032645</v>
      </c>
      <c r="E387" s="6" t="s">
        <v>800</v>
      </c>
      <c r="F387" s="6" t="s">
        <v>791</v>
      </c>
      <c r="G387" s="7" t="str">
        <f>IFERROR(_xlfn.XLOOKUP([1]!Registre[[#This Row],[ID_Antenne]],[1]Log_Réseaux!B:B,[1]Log_Réseaux!C:C),"NA")</f>
        <v>NA</v>
      </c>
      <c r="H387" s="7" t="str">
        <f>IFERROR(_xlfn.XLOOKUP([1]!Registre[[#This Row],[ID_Antenne]],[1]Log_Réseaux!B:B,[1]Log_Réseaux!D:D),"NA")</f>
        <v>NA</v>
      </c>
    </row>
    <row r="388" spans="1:8" x14ac:dyDescent="0.25">
      <c r="A388" s="6" t="s">
        <v>1182</v>
      </c>
      <c r="B388" s="6" t="s">
        <v>44</v>
      </c>
      <c r="C388" s="6">
        <v>-2.9417719999999998</v>
      </c>
      <c r="D388" s="6">
        <v>18.587305000000001</v>
      </c>
      <c r="E388" s="6" t="s">
        <v>796</v>
      </c>
      <c r="F388" s="6" t="s">
        <v>802</v>
      </c>
      <c r="G388" s="7">
        <f>IFERROR(_xlfn.XLOOKUP([1]!Registre[[#This Row],[ID_Antenne]],[1]Log_Réseaux!B:B,[1]Log_Réseaux!C:C),"NA")</f>
        <v>2</v>
      </c>
      <c r="H388" s="7">
        <f>IFERROR(_xlfn.XLOOKUP([1]!Registre[[#This Row],[ID_Antenne]],[1]Log_Réseaux!B:B,[1]Log_Réseaux!D:D),"NA")</f>
        <v>204</v>
      </c>
    </row>
    <row r="389" spans="1:8" x14ac:dyDescent="0.25">
      <c r="A389" s="6" t="s">
        <v>1183</v>
      </c>
      <c r="B389" s="6" t="s">
        <v>9</v>
      </c>
      <c r="C389" s="6">
        <v>4.2187000000000001</v>
      </c>
      <c r="D389" s="6">
        <v>29.390174999999999</v>
      </c>
      <c r="E389" s="6" t="s">
        <v>790</v>
      </c>
      <c r="F389" s="6" t="s">
        <v>791</v>
      </c>
      <c r="G389" s="7" t="str">
        <f>IFERROR(_xlfn.XLOOKUP([1]!Registre[[#This Row],[ID_Antenne]],[1]Log_Réseaux!B:B,[1]Log_Réseaux!C:C),"NA")</f>
        <v>NA</v>
      </c>
      <c r="H389" s="7" t="str">
        <f>IFERROR(_xlfn.XLOOKUP([1]!Registre[[#This Row],[ID_Antenne]],[1]Log_Réseaux!B:B,[1]Log_Réseaux!D:D),"NA")</f>
        <v>NA</v>
      </c>
    </row>
    <row r="390" spans="1:8" x14ac:dyDescent="0.25">
      <c r="A390" s="6" t="s">
        <v>1184</v>
      </c>
      <c r="B390" s="6" t="s">
        <v>42</v>
      </c>
      <c r="C390" s="6">
        <v>-3.8119990000000001</v>
      </c>
      <c r="D390" s="6">
        <v>20.420048000000001</v>
      </c>
      <c r="E390" s="6" t="s">
        <v>800</v>
      </c>
      <c r="F390" s="6" t="s">
        <v>791</v>
      </c>
      <c r="G390" s="7">
        <f>IFERROR(_xlfn.XLOOKUP([1]!Registre[[#This Row],[ID_Antenne]],[1]Log_Réseaux!B:B,[1]Log_Réseaux!C:C),"NA")</f>
        <v>1</v>
      </c>
      <c r="H390" s="7">
        <f>IFERROR(_xlfn.XLOOKUP([1]!Registre[[#This Row],[ID_Antenne]],[1]Log_Réseaux!B:B,[1]Log_Réseaux!D:D),"NA")</f>
        <v>11</v>
      </c>
    </row>
    <row r="391" spans="1:8" x14ac:dyDescent="0.25">
      <c r="A391" s="6" t="s">
        <v>1185</v>
      </c>
      <c r="B391" s="6" t="s">
        <v>57</v>
      </c>
      <c r="C391" s="6">
        <v>-3.269612</v>
      </c>
      <c r="D391" s="6">
        <v>25.571189</v>
      </c>
      <c r="E391" s="6" t="s">
        <v>796</v>
      </c>
      <c r="F391" s="6" t="s">
        <v>802</v>
      </c>
      <c r="G391" s="7" t="str">
        <f>IFERROR(_xlfn.XLOOKUP([1]!Registre[[#This Row],[ID_Antenne]],[1]Log_Réseaux!B:B,[1]Log_Réseaux!C:C),"NA")</f>
        <v>NA</v>
      </c>
      <c r="H391" s="7" t="str">
        <f>IFERROR(_xlfn.XLOOKUP([1]!Registre[[#This Row],[ID_Antenne]],[1]Log_Réseaux!B:B,[1]Log_Réseaux!D:D),"NA")</f>
        <v>NA</v>
      </c>
    </row>
    <row r="392" spans="1:8" x14ac:dyDescent="0.25">
      <c r="A392" s="6" t="s">
        <v>1186</v>
      </c>
      <c r="B392" s="6" t="s">
        <v>40</v>
      </c>
      <c r="C392" s="6">
        <v>-12.100756000000001</v>
      </c>
      <c r="D392" s="6">
        <v>21.938649999999999</v>
      </c>
      <c r="E392" s="6" t="s">
        <v>790</v>
      </c>
      <c r="F392" s="6" t="s">
        <v>797</v>
      </c>
      <c r="G392" s="7">
        <f>IFERROR(_xlfn.XLOOKUP([1]!Registre[[#This Row],[ID_Antenne]],[1]Log_Réseaux!B:B,[1]Log_Réseaux!C:C),"NA")</f>
        <v>2</v>
      </c>
      <c r="H392" s="7">
        <f>IFERROR(_xlfn.XLOOKUP([1]!Registre[[#This Row],[ID_Antenne]],[1]Log_Réseaux!B:B,[1]Log_Réseaux!D:D),"NA")</f>
        <v>100</v>
      </c>
    </row>
    <row r="393" spans="1:8" x14ac:dyDescent="0.25">
      <c r="A393" s="6" t="s">
        <v>1187</v>
      </c>
      <c r="B393" s="6" t="s">
        <v>69</v>
      </c>
      <c r="C393" s="6">
        <v>1.368018</v>
      </c>
      <c r="D393" s="6">
        <v>14.203893000000001</v>
      </c>
      <c r="E393" s="6" t="s">
        <v>796</v>
      </c>
      <c r="F393" s="6" t="s">
        <v>797</v>
      </c>
      <c r="G393" s="7" t="str">
        <f>IFERROR(_xlfn.XLOOKUP([1]!Registre[[#This Row],[ID_Antenne]],[1]Log_Réseaux!B:B,[1]Log_Réseaux!C:C),"NA")</f>
        <v>NA</v>
      </c>
      <c r="H393" s="7" t="str">
        <f>IFERROR(_xlfn.XLOOKUP([1]!Registre[[#This Row],[ID_Antenne]],[1]Log_Réseaux!B:B,[1]Log_Réseaux!D:D),"NA")</f>
        <v>NA</v>
      </c>
    </row>
    <row r="394" spans="1:8" x14ac:dyDescent="0.25">
      <c r="A394" s="6" t="s">
        <v>1188</v>
      </c>
      <c r="B394" s="6" t="s">
        <v>30</v>
      </c>
      <c r="C394" s="6">
        <v>-4.1250960000000001</v>
      </c>
      <c r="D394" s="6">
        <v>27.799897999999999</v>
      </c>
      <c r="E394" s="6" t="s">
        <v>800</v>
      </c>
      <c r="F394" s="6" t="s">
        <v>793</v>
      </c>
      <c r="G394" s="7">
        <f>IFERROR(_xlfn.XLOOKUP([1]!Registre[[#This Row],[ID_Antenne]],[1]Log_Réseaux!B:B,[1]Log_Réseaux!C:C),"NA")</f>
        <v>2</v>
      </c>
      <c r="H394" s="7">
        <f>IFERROR(_xlfn.XLOOKUP([1]!Registre[[#This Row],[ID_Antenne]],[1]Log_Réseaux!B:B,[1]Log_Réseaux!D:D),"NA")</f>
        <v>223</v>
      </c>
    </row>
    <row r="395" spans="1:8" x14ac:dyDescent="0.25">
      <c r="A395" s="6" t="s">
        <v>1189</v>
      </c>
      <c r="B395" s="6" t="s">
        <v>30</v>
      </c>
      <c r="C395" s="6">
        <v>-4.6426759999999998</v>
      </c>
      <c r="D395" s="6">
        <v>22.124254000000001</v>
      </c>
      <c r="E395" s="6" t="s">
        <v>790</v>
      </c>
      <c r="F395" s="6" t="s">
        <v>791</v>
      </c>
      <c r="G395" s="7">
        <f>IFERROR(_xlfn.XLOOKUP([1]!Registre[[#This Row],[ID_Antenne]],[1]Log_Réseaux!B:B,[1]Log_Réseaux!C:C),"NA")</f>
        <v>1</v>
      </c>
      <c r="H395" s="7">
        <f>IFERROR(_xlfn.XLOOKUP([1]!Registre[[#This Row],[ID_Antenne]],[1]Log_Réseaux!B:B,[1]Log_Réseaux!D:D),"NA")</f>
        <v>74</v>
      </c>
    </row>
    <row r="396" spans="1:8" x14ac:dyDescent="0.25">
      <c r="A396" s="6" t="s">
        <v>1190</v>
      </c>
      <c r="B396" s="6" t="s">
        <v>22</v>
      </c>
      <c r="C396" s="6">
        <v>0.24369399999999999</v>
      </c>
      <c r="D396" s="6">
        <v>17.242912</v>
      </c>
      <c r="E396" s="6" t="s">
        <v>790</v>
      </c>
      <c r="F396" s="6" t="s">
        <v>793</v>
      </c>
      <c r="G396" s="7" t="str">
        <f>IFERROR(_xlfn.XLOOKUP([1]!Registre[[#This Row],[ID_Antenne]],[1]Log_Réseaux!B:B,[1]Log_Réseaux!C:C),"NA")</f>
        <v>NA</v>
      </c>
      <c r="H396" s="7" t="str">
        <f>IFERROR(_xlfn.XLOOKUP([1]!Registre[[#This Row],[ID_Antenne]],[1]Log_Réseaux!B:B,[1]Log_Réseaux!D:D),"NA")</f>
        <v>NA</v>
      </c>
    </row>
    <row r="397" spans="1:8" x14ac:dyDescent="0.25">
      <c r="A397" s="6" t="s">
        <v>1191</v>
      </c>
      <c r="B397" s="6" t="s">
        <v>42</v>
      </c>
      <c r="C397" s="6">
        <v>-5.125</v>
      </c>
      <c r="D397" s="6">
        <v>23.513119</v>
      </c>
      <c r="E397" s="6" t="s">
        <v>796</v>
      </c>
      <c r="F397" s="6" t="s">
        <v>797</v>
      </c>
      <c r="G397" s="7">
        <f>IFERROR(_xlfn.XLOOKUP([1]!Registre[[#This Row],[ID_Antenne]],[1]Log_Réseaux!B:B,[1]Log_Réseaux!C:C),"NA")</f>
        <v>2</v>
      </c>
      <c r="H397" s="7">
        <f>IFERROR(_xlfn.XLOOKUP([1]!Registre[[#This Row],[ID_Antenne]],[1]Log_Réseaux!B:B,[1]Log_Réseaux!D:D),"NA")</f>
        <v>174</v>
      </c>
    </row>
    <row r="398" spans="1:8" x14ac:dyDescent="0.25">
      <c r="A398" s="6" t="s">
        <v>1192</v>
      </c>
      <c r="B398" s="6" t="s">
        <v>32</v>
      </c>
      <c r="C398" s="6">
        <v>-2.3102109999999998</v>
      </c>
      <c r="D398" s="6">
        <v>12.362488000000001</v>
      </c>
      <c r="E398" s="6" t="s">
        <v>796</v>
      </c>
      <c r="F398" s="6" t="s">
        <v>793</v>
      </c>
      <c r="G398" s="7">
        <f>IFERROR(_xlfn.XLOOKUP([1]!Registre[[#This Row],[ID_Antenne]],[1]Log_Réseaux!B:B,[1]Log_Réseaux!C:C),"NA")</f>
        <v>1</v>
      </c>
      <c r="H398" s="7">
        <f>IFERROR(_xlfn.XLOOKUP([1]!Registre[[#This Row],[ID_Antenne]],[1]Log_Réseaux!B:B,[1]Log_Réseaux!D:D),"NA")</f>
        <v>62</v>
      </c>
    </row>
    <row r="399" spans="1:8" x14ac:dyDescent="0.25">
      <c r="A399" s="6" t="s">
        <v>1193</v>
      </c>
      <c r="B399" s="6" t="s">
        <v>38</v>
      </c>
      <c r="C399" s="6">
        <v>-1.5419050000000001</v>
      </c>
      <c r="D399" s="6">
        <v>14.730632999999999</v>
      </c>
      <c r="E399" s="6" t="s">
        <v>800</v>
      </c>
      <c r="F399" s="6" t="s">
        <v>791</v>
      </c>
      <c r="G399" s="7">
        <f>IFERROR(_xlfn.XLOOKUP([1]!Registre[[#This Row],[ID_Antenne]],[1]Log_Réseaux!B:B,[1]Log_Réseaux!C:C),"NA")</f>
        <v>2</v>
      </c>
      <c r="H399" s="7">
        <f>IFERROR(_xlfn.XLOOKUP([1]!Registre[[#This Row],[ID_Antenne]],[1]Log_Réseaux!B:B,[1]Log_Réseaux!D:D),"NA")</f>
        <v>130</v>
      </c>
    </row>
    <row r="400" spans="1:8" x14ac:dyDescent="0.25">
      <c r="A400" s="6" t="s">
        <v>1194</v>
      </c>
      <c r="B400" s="6" t="s">
        <v>30</v>
      </c>
      <c r="C400" s="6">
        <v>-3.7720639999999999</v>
      </c>
      <c r="D400" s="6">
        <v>16.006277999999998</v>
      </c>
      <c r="E400" s="6" t="s">
        <v>796</v>
      </c>
      <c r="F400" s="6" t="s">
        <v>791</v>
      </c>
      <c r="G400" s="7">
        <f>IFERROR(_xlfn.XLOOKUP([1]!Registre[[#This Row],[ID_Antenne]],[1]Log_Réseaux!B:B,[1]Log_Réseaux!C:C),"NA")</f>
        <v>3</v>
      </c>
      <c r="H400" s="7">
        <f>IFERROR(_xlfn.XLOOKUP([1]!Registre[[#This Row],[ID_Antenne]],[1]Log_Réseaux!B:B,[1]Log_Réseaux!D:D),"NA")</f>
        <v>176</v>
      </c>
    </row>
    <row r="401" spans="1:8" x14ac:dyDescent="0.25">
      <c r="A401" s="6" t="s">
        <v>1195</v>
      </c>
      <c r="B401" s="6" t="s">
        <v>12</v>
      </c>
      <c r="C401" s="6">
        <v>-4.5180470000000001</v>
      </c>
      <c r="D401" s="6">
        <v>19.908223</v>
      </c>
      <c r="E401" s="6" t="s">
        <v>796</v>
      </c>
      <c r="F401" s="6" t="s">
        <v>797</v>
      </c>
      <c r="G401" s="7" t="str">
        <f>IFERROR(_xlfn.XLOOKUP([1]!Registre[[#This Row],[ID_Antenne]],[1]Log_Réseaux!B:B,[1]Log_Réseaux!C:C),"NA")</f>
        <v>NA</v>
      </c>
      <c r="H401" s="7" t="str">
        <f>IFERROR(_xlfn.XLOOKUP([1]!Registre[[#This Row],[ID_Antenne]],[1]Log_Réseaux!B:B,[1]Log_Réseaux!D:D),"NA")</f>
        <v>NA</v>
      </c>
    </row>
    <row r="402" spans="1:8" x14ac:dyDescent="0.25">
      <c r="A402" s="6" t="s">
        <v>1196</v>
      </c>
      <c r="B402" s="6" t="s">
        <v>44</v>
      </c>
      <c r="C402" s="6">
        <v>-4.0490719999999998</v>
      </c>
      <c r="D402" s="6">
        <v>21.399131000000001</v>
      </c>
      <c r="E402" s="6" t="s">
        <v>800</v>
      </c>
      <c r="F402" s="6" t="s">
        <v>791</v>
      </c>
      <c r="G402" s="7" t="str">
        <f>IFERROR(_xlfn.XLOOKUP([1]!Registre[[#This Row],[ID_Antenne]],[1]Log_Réseaux!B:B,[1]Log_Réseaux!C:C),"NA")</f>
        <v>NA</v>
      </c>
      <c r="H402" s="7" t="str">
        <f>IFERROR(_xlfn.XLOOKUP([1]!Registre[[#This Row],[ID_Antenne]],[1]Log_Réseaux!B:B,[1]Log_Réseaux!D:D),"NA")</f>
        <v>NA</v>
      </c>
    </row>
    <row r="403" spans="1:8" x14ac:dyDescent="0.25">
      <c r="A403" s="6" t="s">
        <v>1197</v>
      </c>
      <c r="B403" s="6" t="s">
        <v>32</v>
      </c>
      <c r="C403" s="6">
        <v>-10.846306999999999</v>
      </c>
      <c r="D403" s="6">
        <v>19.201827999999999</v>
      </c>
      <c r="E403" s="6" t="s">
        <v>790</v>
      </c>
      <c r="F403" s="6" t="s">
        <v>802</v>
      </c>
      <c r="G403" s="7">
        <f>IFERROR(_xlfn.XLOOKUP([1]!Registre[[#This Row],[ID_Antenne]],[1]Log_Réseaux!B:B,[1]Log_Réseaux!C:C),"NA")</f>
        <v>3</v>
      </c>
      <c r="H403" s="7">
        <f>IFERROR(_xlfn.XLOOKUP([1]!Registre[[#This Row],[ID_Antenne]],[1]Log_Réseaux!B:B,[1]Log_Réseaux!D:D),"NA")</f>
        <v>121</v>
      </c>
    </row>
    <row r="404" spans="1:8" x14ac:dyDescent="0.25">
      <c r="A404" s="6" t="s">
        <v>1198</v>
      </c>
      <c r="B404" s="6" t="s">
        <v>30</v>
      </c>
      <c r="C404" s="6">
        <v>-4.1061909999999999</v>
      </c>
      <c r="D404" s="6">
        <v>28.054902999999999</v>
      </c>
      <c r="E404" s="6" t="s">
        <v>800</v>
      </c>
      <c r="F404" s="6" t="s">
        <v>797</v>
      </c>
      <c r="G404" s="7" t="str">
        <f>IFERROR(_xlfn.XLOOKUP([1]!Registre[[#This Row],[ID_Antenne]],[1]Log_Réseaux!B:B,[1]Log_Réseaux!C:C),"NA")</f>
        <v>NA</v>
      </c>
      <c r="H404" s="7" t="str">
        <f>IFERROR(_xlfn.XLOOKUP([1]!Registre[[#This Row],[ID_Antenne]],[1]Log_Réseaux!B:B,[1]Log_Réseaux!D:D),"NA")</f>
        <v>NA</v>
      </c>
    </row>
    <row r="405" spans="1:8" x14ac:dyDescent="0.25">
      <c r="A405" s="6" t="s">
        <v>1199</v>
      </c>
      <c r="B405" s="6" t="s">
        <v>12</v>
      </c>
      <c r="C405" s="6">
        <v>4.6809229999999999</v>
      </c>
      <c r="D405" s="6">
        <v>28.934242000000001</v>
      </c>
      <c r="E405" s="6" t="s">
        <v>796</v>
      </c>
      <c r="F405" s="6" t="s">
        <v>793</v>
      </c>
      <c r="G405" s="7">
        <f>IFERROR(_xlfn.XLOOKUP([1]!Registre[[#This Row],[ID_Antenne]],[1]Log_Réseaux!B:B,[1]Log_Réseaux!C:C),"NA")</f>
        <v>1</v>
      </c>
      <c r="H405" s="7">
        <f>IFERROR(_xlfn.XLOOKUP([1]!Registre[[#This Row],[ID_Antenne]],[1]Log_Réseaux!B:B,[1]Log_Réseaux!D:D),"NA")</f>
        <v>74</v>
      </c>
    </row>
    <row r="406" spans="1:8" x14ac:dyDescent="0.25">
      <c r="A406" s="6" t="s">
        <v>1200</v>
      </c>
      <c r="B406" s="6" t="s">
        <v>48</v>
      </c>
      <c r="C406" s="6">
        <v>-12.01816</v>
      </c>
      <c r="D406" s="6">
        <v>23.828645999999999</v>
      </c>
      <c r="E406" s="6" t="s">
        <v>800</v>
      </c>
      <c r="F406" s="6" t="s">
        <v>797</v>
      </c>
      <c r="G406" s="7" t="str">
        <f>IFERROR(_xlfn.XLOOKUP([1]!Registre[[#This Row],[ID_Antenne]],[1]Log_Réseaux!B:B,[1]Log_Réseaux!C:C),"NA")</f>
        <v>NA</v>
      </c>
      <c r="H406" s="7" t="str">
        <f>IFERROR(_xlfn.XLOOKUP([1]!Registre[[#This Row],[ID_Antenne]],[1]Log_Réseaux!B:B,[1]Log_Réseaux!D:D),"NA")</f>
        <v>NA</v>
      </c>
    </row>
    <row r="407" spans="1:8" x14ac:dyDescent="0.25">
      <c r="A407" s="6" t="s">
        <v>1201</v>
      </c>
      <c r="B407" s="6" t="s">
        <v>34</v>
      </c>
      <c r="C407" s="6">
        <v>0.419985</v>
      </c>
      <c r="D407" s="6">
        <v>13.847996999999999</v>
      </c>
      <c r="E407" s="6" t="s">
        <v>796</v>
      </c>
      <c r="F407" s="6" t="s">
        <v>791</v>
      </c>
      <c r="G407" s="7" t="str">
        <f>IFERROR(_xlfn.XLOOKUP([1]!Registre[[#This Row],[ID_Antenne]],[1]Log_Réseaux!B:B,[1]Log_Réseaux!C:C),"NA")</f>
        <v>NA</v>
      </c>
      <c r="H407" s="7" t="str">
        <f>IFERROR(_xlfn.XLOOKUP([1]!Registre[[#This Row],[ID_Antenne]],[1]Log_Réseaux!B:B,[1]Log_Réseaux!D:D),"NA")</f>
        <v>NA</v>
      </c>
    </row>
    <row r="408" spans="1:8" x14ac:dyDescent="0.25">
      <c r="A408" s="6" t="s">
        <v>1202</v>
      </c>
      <c r="B408" s="6" t="s">
        <v>22</v>
      </c>
      <c r="C408" s="6">
        <v>0.40267799999999998</v>
      </c>
      <c r="D408" s="6">
        <v>16.000858000000001</v>
      </c>
      <c r="E408" s="6" t="s">
        <v>800</v>
      </c>
      <c r="F408" s="6" t="s">
        <v>793</v>
      </c>
      <c r="G408" s="7">
        <f>IFERROR(_xlfn.XLOOKUP([1]!Registre[[#This Row],[ID_Antenne]],[1]Log_Réseaux!B:B,[1]Log_Réseaux!C:C),"NA")</f>
        <v>1</v>
      </c>
      <c r="H408" s="7">
        <f>IFERROR(_xlfn.XLOOKUP([1]!Registre[[#This Row],[ID_Antenne]],[1]Log_Réseaux!B:B,[1]Log_Réseaux!D:D),"NA")</f>
        <v>28</v>
      </c>
    </row>
    <row r="409" spans="1:8" x14ac:dyDescent="0.25">
      <c r="A409" s="6" t="s">
        <v>1203</v>
      </c>
      <c r="B409" s="6" t="s">
        <v>32</v>
      </c>
      <c r="C409" s="6">
        <v>1.017161</v>
      </c>
      <c r="D409" s="6">
        <v>16.519689</v>
      </c>
      <c r="E409" s="6" t="s">
        <v>800</v>
      </c>
      <c r="F409" s="6" t="s">
        <v>793</v>
      </c>
      <c r="G409" s="7">
        <f>IFERROR(_xlfn.XLOOKUP([1]!Registre[[#This Row],[ID_Antenne]],[1]Log_Réseaux!B:B,[1]Log_Réseaux!C:C),"NA")</f>
        <v>2</v>
      </c>
      <c r="H409" s="7">
        <f>IFERROR(_xlfn.XLOOKUP([1]!Registre[[#This Row],[ID_Antenne]],[1]Log_Réseaux!B:B,[1]Log_Réseaux!D:D),"NA")</f>
        <v>153</v>
      </c>
    </row>
    <row r="410" spans="1:8" x14ac:dyDescent="0.25">
      <c r="A410" s="6" t="s">
        <v>1204</v>
      </c>
      <c r="B410" s="6" t="s">
        <v>12</v>
      </c>
      <c r="C410" s="6">
        <v>-5.3762689999999997</v>
      </c>
      <c r="D410" s="6">
        <v>28.189575999999999</v>
      </c>
      <c r="E410" s="6" t="s">
        <v>796</v>
      </c>
      <c r="F410" s="6" t="s">
        <v>797</v>
      </c>
      <c r="G410" s="7">
        <f>IFERROR(_xlfn.XLOOKUP([1]!Registre[[#This Row],[ID_Antenne]],[1]Log_Réseaux!B:B,[1]Log_Réseaux!C:C),"NA")</f>
        <v>4</v>
      </c>
      <c r="H410" s="7">
        <f>IFERROR(_xlfn.XLOOKUP([1]!Registre[[#This Row],[ID_Antenne]],[1]Log_Réseaux!B:B,[1]Log_Réseaux!D:D),"NA")</f>
        <v>237</v>
      </c>
    </row>
    <row r="411" spans="1:8" x14ac:dyDescent="0.25">
      <c r="A411" s="6" t="s">
        <v>1205</v>
      </c>
      <c r="B411" s="6" t="s">
        <v>65</v>
      </c>
      <c r="C411" s="6">
        <v>-11.265995</v>
      </c>
      <c r="D411" s="6">
        <v>28.935514999999999</v>
      </c>
      <c r="E411" s="6" t="s">
        <v>790</v>
      </c>
      <c r="F411" s="6" t="s">
        <v>802</v>
      </c>
      <c r="G411" s="7">
        <f>IFERROR(_xlfn.XLOOKUP([1]!Registre[[#This Row],[ID_Antenne]],[1]Log_Réseaux!B:B,[1]Log_Réseaux!C:C),"NA")</f>
        <v>2</v>
      </c>
      <c r="H411" s="7">
        <f>IFERROR(_xlfn.XLOOKUP([1]!Registre[[#This Row],[ID_Antenne]],[1]Log_Réseaux!B:B,[1]Log_Réseaux!D:D),"NA")</f>
        <v>89</v>
      </c>
    </row>
    <row r="412" spans="1:8" x14ac:dyDescent="0.25">
      <c r="A412" s="6" t="s">
        <v>1206</v>
      </c>
      <c r="B412" s="6" t="s">
        <v>72</v>
      </c>
      <c r="C412" s="6">
        <v>-4.749333</v>
      </c>
      <c r="D412" s="6">
        <v>23.636389000000001</v>
      </c>
      <c r="E412" s="6" t="s">
        <v>800</v>
      </c>
      <c r="F412" s="6" t="s">
        <v>791</v>
      </c>
      <c r="G412" s="7" t="str">
        <f>IFERROR(_xlfn.XLOOKUP([1]!Registre[[#This Row],[ID_Antenne]],[1]Log_Réseaux!B:B,[1]Log_Réseaux!C:C),"NA")</f>
        <v>NA</v>
      </c>
      <c r="H412" s="7" t="str">
        <f>IFERROR(_xlfn.XLOOKUP([1]!Registre[[#This Row],[ID_Antenne]],[1]Log_Réseaux!B:B,[1]Log_Réseaux!D:D),"NA")</f>
        <v>NA</v>
      </c>
    </row>
    <row r="413" spans="1:8" x14ac:dyDescent="0.25">
      <c r="A413" s="6" t="s">
        <v>1207</v>
      </c>
      <c r="B413" s="6" t="s">
        <v>62</v>
      </c>
      <c r="C413" s="6">
        <v>0.65288900000000005</v>
      </c>
      <c r="D413" s="6">
        <v>24.243953999999999</v>
      </c>
      <c r="E413" s="6" t="s">
        <v>796</v>
      </c>
      <c r="F413" s="6" t="s">
        <v>802</v>
      </c>
      <c r="G413" s="7">
        <f>IFERROR(_xlfn.XLOOKUP([1]!Registre[[#This Row],[ID_Antenne]],[1]Log_Réseaux!B:B,[1]Log_Réseaux!C:C),"NA")</f>
        <v>1</v>
      </c>
      <c r="H413" s="7">
        <f>IFERROR(_xlfn.XLOOKUP([1]!Registre[[#This Row],[ID_Antenne]],[1]Log_Réseaux!B:B,[1]Log_Réseaux!D:D),"NA")</f>
        <v>22</v>
      </c>
    </row>
    <row r="414" spans="1:8" x14ac:dyDescent="0.25">
      <c r="A414" s="6" t="s">
        <v>1208</v>
      </c>
      <c r="B414" s="6" t="s">
        <v>156</v>
      </c>
      <c r="C414" s="6">
        <v>-10.872631999999999</v>
      </c>
      <c r="D414" s="6">
        <v>12.773279</v>
      </c>
      <c r="E414" s="6" t="s">
        <v>800</v>
      </c>
      <c r="F414" s="6" t="s">
        <v>791</v>
      </c>
      <c r="G414" s="7">
        <f>IFERROR(_xlfn.XLOOKUP([1]!Registre[[#This Row],[ID_Antenne]],[1]Log_Réseaux!B:B,[1]Log_Réseaux!C:C),"NA")</f>
        <v>3</v>
      </c>
      <c r="H414" s="7">
        <f>IFERROR(_xlfn.XLOOKUP([1]!Registre[[#This Row],[ID_Antenne]],[1]Log_Réseaux!B:B,[1]Log_Réseaux!D:D),"NA")</f>
        <v>163</v>
      </c>
    </row>
    <row r="415" spans="1:8" x14ac:dyDescent="0.25">
      <c r="A415" s="6" t="s">
        <v>1209</v>
      </c>
      <c r="B415" s="6" t="s">
        <v>97</v>
      </c>
      <c r="C415" s="6">
        <v>-7.1079169999999996</v>
      </c>
      <c r="D415" s="6">
        <v>13.636272</v>
      </c>
      <c r="E415" s="6" t="s">
        <v>796</v>
      </c>
      <c r="F415" s="6" t="s">
        <v>793</v>
      </c>
      <c r="G415" s="7">
        <f>IFERROR(_xlfn.XLOOKUP([1]!Registre[[#This Row],[ID_Antenne]],[1]Log_Réseaux!B:B,[1]Log_Réseaux!C:C),"NA")</f>
        <v>2</v>
      </c>
      <c r="H415" s="7">
        <f>IFERROR(_xlfn.XLOOKUP([1]!Registre[[#This Row],[ID_Antenne]],[1]Log_Réseaux!B:B,[1]Log_Réseaux!D:D),"NA")</f>
        <v>75</v>
      </c>
    </row>
    <row r="416" spans="1:8" x14ac:dyDescent="0.25">
      <c r="A416" s="6" t="s">
        <v>1210</v>
      </c>
      <c r="B416" s="6" t="s">
        <v>28</v>
      </c>
      <c r="C416" s="6">
        <v>-4.4862339999999996</v>
      </c>
      <c r="D416" s="6">
        <v>17.956159</v>
      </c>
      <c r="E416" s="6" t="s">
        <v>800</v>
      </c>
      <c r="F416" s="6" t="s">
        <v>797</v>
      </c>
      <c r="G416" s="7" t="str">
        <f>IFERROR(_xlfn.XLOOKUP([1]!Registre[[#This Row],[ID_Antenne]],[1]Log_Réseaux!B:B,[1]Log_Réseaux!C:C),"NA")</f>
        <v>NA</v>
      </c>
      <c r="H416" s="7" t="str">
        <f>IFERROR(_xlfn.XLOOKUP([1]!Registre[[#This Row],[ID_Antenne]],[1]Log_Réseaux!B:B,[1]Log_Réseaux!D:D),"NA")</f>
        <v>NA</v>
      </c>
    </row>
    <row r="417" spans="1:8" x14ac:dyDescent="0.25">
      <c r="A417" s="6" t="s">
        <v>1211</v>
      </c>
      <c r="B417" s="6" t="s">
        <v>22</v>
      </c>
      <c r="C417" s="6">
        <v>-10.614302</v>
      </c>
      <c r="D417" s="6">
        <v>29.436530999999999</v>
      </c>
      <c r="E417" s="6" t="s">
        <v>800</v>
      </c>
      <c r="F417" s="6" t="s">
        <v>802</v>
      </c>
      <c r="G417" s="7" t="str">
        <f>IFERROR(_xlfn.XLOOKUP([1]!Registre[[#This Row],[ID_Antenne]],[1]Log_Réseaux!B:B,[1]Log_Réseaux!C:C),"NA")</f>
        <v>NA</v>
      </c>
      <c r="H417" s="7" t="str">
        <f>IFERROR(_xlfn.XLOOKUP([1]!Registre[[#This Row],[ID_Antenne]],[1]Log_Réseaux!B:B,[1]Log_Réseaux!D:D),"NA")</f>
        <v>NA</v>
      </c>
    </row>
    <row r="418" spans="1:8" x14ac:dyDescent="0.25">
      <c r="A418" s="6" t="s">
        <v>1212</v>
      </c>
      <c r="B418" s="6" t="s">
        <v>9</v>
      </c>
      <c r="C418" s="6">
        <v>-5.9021970000000001</v>
      </c>
      <c r="D418" s="6">
        <v>20.551169999999999</v>
      </c>
      <c r="E418" s="6" t="s">
        <v>800</v>
      </c>
      <c r="F418" s="6" t="s">
        <v>797</v>
      </c>
      <c r="G418" s="7">
        <f>IFERROR(_xlfn.XLOOKUP([1]!Registre[[#This Row],[ID_Antenne]],[1]Log_Réseaux!B:B,[1]Log_Réseaux!C:C),"NA")</f>
        <v>2</v>
      </c>
      <c r="H418" s="7">
        <f>IFERROR(_xlfn.XLOOKUP([1]!Registre[[#This Row],[ID_Antenne]],[1]Log_Réseaux!B:B,[1]Log_Réseaux!D:D),"NA")</f>
        <v>99</v>
      </c>
    </row>
    <row r="419" spans="1:8" x14ac:dyDescent="0.25">
      <c r="A419" s="6" t="s">
        <v>1213</v>
      </c>
      <c r="B419" s="6" t="s">
        <v>38</v>
      </c>
      <c r="C419" s="6">
        <v>4.2493650000000001</v>
      </c>
      <c r="D419" s="6">
        <v>28.355039999999999</v>
      </c>
      <c r="E419" s="6" t="s">
        <v>800</v>
      </c>
      <c r="F419" s="6" t="s">
        <v>791</v>
      </c>
      <c r="G419" s="7">
        <f>IFERROR(_xlfn.XLOOKUP([1]!Registre[[#This Row],[ID_Antenne]],[1]Log_Réseaux!B:B,[1]Log_Réseaux!C:C),"NA")</f>
        <v>3</v>
      </c>
      <c r="H419" s="7">
        <f>IFERROR(_xlfn.XLOOKUP([1]!Registre[[#This Row],[ID_Antenne]],[1]Log_Réseaux!B:B,[1]Log_Réseaux!D:D),"NA")</f>
        <v>215</v>
      </c>
    </row>
    <row r="420" spans="1:8" x14ac:dyDescent="0.25">
      <c r="A420" s="6" t="s">
        <v>1214</v>
      </c>
      <c r="B420" s="6" t="s">
        <v>12</v>
      </c>
      <c r="C420" s="6">
        <v>-11.514188000000001</v>
      </c>
      <c r="D420" s="6">
        <v>15.971181</v>
      </c>
      <c r="E420" s="6" t="s">
        <v>796</v>
      </c>
      <c r="F420" s="6" t="s">
        <v>802</v>
      </c>
      <c r="G420" s="7">
        <f>IFERROR(_xlfn.XLOOKUP([1]!Registre[[#This Row],[ID_Antenne]],[1]Log_Réseaux!B:B,[1]Log_Réseaux!C:C),"NA")</f>
        <v>2</v>
      </c>
      <c r="H420" s="7">
        <f>IFERROR(_xlfn.XLOOKUP([1]!Registre[[#This Row],[ID_Antenne]],[1]Log_Réseaux!B:B,[1]Log_Réseaux!D:D),"NA")</f>
        <v>98</v>
      </c>
    </row>
    <row r="421" spans="1:8" x14ac:dyDescent="0.25">
      <c r="A421" s="6" t="s">
        <v>1215</v>
      </c>
      <c r="B421" s="6" t="s">
        <v>30</v>
      </c>
      <c r="C421" s="6">
        <v>-1.9120569999999999</v>
      </c>
      <c r="D421" s="6">
        <v>15.236072999999999</v>
      </c>
      <c r="E421" s="6" t="s">
        <v>796</v>
      </c>
      <c r="F421" s="6" t="s">
        <v>797</v>
      </c>
      <c r="G421" s="7">
        <f>IFERROR(_xlfn.XLOOKUP([1]!Registre[[#This Row],[ID_Antenne]],[1]Log_Réseaux!B:B,[1]Log_Réseaux!C:C),"NA")</f>
        <v>1</v>
      </c>
      <c r="H421" s="7">
        <f>IFERROR(_xlfn.XLOOKUP([1]!Registre[[#This Row],[ID_Antenne]],[1]Log_Réseaux!B:B,[1]Log_Réseaux!D:D),"NA")</f>
        <v>72</v>
      </c>
    </row>
    <row r="422" spans="1:8" x14ac:dyDescent="0.25">
      <c r="A422" s="6" t="s">
        <v>1216</v>
      </c>
      <c r="B422" s="6" t="s">
        <v>42</v>
      </c>
      <c r="C422" s="6">
        <v>-5.3956809999999997</v>
      </c>
      <c r="D422" s="6">
        <v>14.49985</v>
      </c>
      <c r="E422" s="6" t="s">
        <v>790</v>
      </c>
      <c r="F422" s="6" t="s">
        <v>791</v>
      </c>
      <c r="G422" s="7" t="str">
        <f>IFERROR(_xlfn.XLOOKUP([1]!Registre[[#This Row],[ID_Antenne]],[1]Log_Réseaux!B:B,[1]Log_Réseaux!C:C),"NA")</f>
        <v>NA</v>
      </c>
      <c r="H422" s="7" t="str">
        <f>IFERROR(_xlfn.XLOOKUP([1]!Registre[[#This Row],[ID_Antenne]],[1]Log_Réseaux!B:B,[1]Log_Réseaux!D:D),"NA")</f>
        <v>NA</v>
      </c>
    </row>
    <row r="423" spans="1:8" x14ac:dyDescent="0.25">
      <c r="A423" s="6" t="s">
        <v>1217</v>
      </c>
      <c r="B423" s="6" t="s">
        <v>6</v>
      </c>
      <c r="C423" s="6">
        <v>-9.4708620000000003</v>
      </c>
      <c r="D423" s="6">
        <v>29.234387999999999</v>
      </c>
      <c r="E423" s="6" t="s">
        <v>800</v>
      </c>
      <c r="F423" s="6" t="s">
        <v>791</v>
      </c>
      <c r="G423" s="7">
        <f>IFERROR(_xlfn.XLOOKUP([1]!Registre[[#This Row],[ID_Antenne]],[1]Log_Réseaux!B:B,[1]Log_Réseaux!C:C),"NA")</f>
        <v>1</v>
      </c>
      <c r="H423" s="7">
        <f>IFERROR(_xlfn.XLOOKUP([1]!Registre[[#This Row],[ID_Antenne]],[1]Log_Réseaux!B:B,[1]Log_Réseaux!D:D),"NA")</f>
        <v>19</v>
      </c>
    </row>
    <row r="424" spans="1:8" x14ac:dyDescent="0.25">
      <c r="A424" s="6" t="s">
        <v>1218</v>
      </c>
      <c r="B424" s="6" t="s">
        <v>42</v>
      </c>
      <c r="C424" s="6">
        <v>-12.048655999999999</v>
      </c>
      <c r="D424" s="6">
        <v>30.577876</v>
      </c>
      <c r="E424" s="6" t="s">
        <v>796</v>
      </c>
      <c r="F424" s="6" t="s">
        <v>791</v>
      </c>
      <c r="G424" s="7" t="str">
        <f>IFERROR(_xlfn.XLOOKUP([1]!Registre[[#This Row],[ID_Antenne]],[1]Log_Réseaux!B:B,[1]Log_Réseaux!C:C),"NA")</f>
        <v>NA</v>
      </c>
      <c r="H424" s="7" t="str">
        <f>IFERROR(_xlfn.XLOOKUP([1]!Registre[[#This Row],[ID_Antenne]],[1]Log_Réseaux!B:B,[1]Log_Réseaux!D:D),"NA")</f>
        <v>NA</v>
      </c>
    </row>
    <row r="425" spans="1:8" x14ac:dyDescent="0.25">
      <c r="A425" s="6" t="s">
        <v>1219</v>
      </c>
      <c r="B425" s="6" t="s">
        <v>40</v>
      </c>
      <c r="C425" s="6">
        <v>-4.869434</v>
      </c>
      <c r="D425" s="6">
        <v>22.326522000000001</v>
      </c>
      <c r="E425" s="6" t="s">
        <v>796</v>
      </c>
      <c r="F425" s="6" t="s">
        <v>802</v>
      </c>
      <c r="G425" s="7">
        <f>IFERROR(_xlfn.XLOOKUP([1]!Registre[[#This Row],[ID_Antenne]],[1]Log_Réseaux!B:B,[1]Log_Réseaux!C:C),"NA")</f>
        <v>2</v>
      </c>
      <c r="H425" s="7">
        <f>IFERROR(_xlfn.XLOOKUP([1]!Registre[[#This Row],[ID_Antenne]],[1]Log_Réseaux!B:B,[1]Log_Réseaux!D:D),"NA")</f>
        <v>92</v>
      </c>
    </row>
    <row r="426" spans="1:8" x14ac:dyDescent="0.25">
      <c r="A426" s="6" t="s">
        <v>1220</v>
      </c>
      <c r="B426" s="6" t="s">
        <v>156</v>
      </c>
      <c r="C426" s="6">
        <v>-8.0301989999999996</v>
      </c>
      <c r="D426" s="6">
        <v>24.122495000000001</v>
      </c>
      <c r="E426" s="6" t="s">
        <v>796</v>
      </c>
      <c r="F426" s="6" t="s">
        <v>791</v>
      </c>
      <c r="G426" s="7">
        <f>IFERROR(_xlfn.XLOOKUP([1]!Registre[[#This Row],[ID_Antenne]],[1]Log_Réseaux!B:B,[1]Log_Réseaux!C:C),"NA")</f>
        <v>3</v>
      </c>
      <c r="H426" s="7">
        <f>IFERROR(_xlfn.XLOOKUP([1]!Registre[[#This Row],[ID_Antenne]],[1]Log_Réseaux!B:B,[1]Log_Réseaux!D:D),"NA")</f>
        <v>182</v>
      </c>
    </row>
    <row r="427" spans="1:8" x14ac:dyDescent="0.25">
      <c r="A427" s="6" t="s">
        <v>1221</v>
      </c>
      <c r="B427" s="6" t="s">
        <v>59</v>
      </c>
      <c r="C427" s="6">
        <v>-9.1215879999999991</v>
      </c>
      <c r="D427" s="6">
        <v>16.457916999999998</v>
      </c>
      <c r="E427" s="6" t="s">
        <v>790</v>
      </c>
      <c r="F427" s="6" t="s">
        <v>793</v>
      </c>
      <c r="G427" s="7">
        <f>IFERROR(_xlfn.XLOOKUP([1]!Registre[[#This Row],[ID_Antenne]],[1]Log_Réseaux!B:B,[1]Log_Réseaux!C:C),"NA")</f>
        <v>1</v>
      </c>
      <c r="H427" s="7">
        <f>IFERROR(_xlfn.XLOOKUP([1]!Registre[[#This Row],[ID_Antenne]],[1]Log_Réseaux!B:B,[1]Log_Réseaux!D:D),"NA")</f>
        <v>15</v>
      </c>
    </row>
    <row r="428" spans="1:8" x14ac:dyDescent="0.25">
      <c r="A428" s="6" t="s">
        <v>1222</v>
      </c>
      <c r="B428" s="6" t="s">
        <v>69</v>
      </c>
      <c r="C428" s="6">
        <v>4.0955700000000004</v>
      </c>
      <c r="D428" s="6">
        <v>23.610704999999999</v>
      </c>
      <c r="E428" s="6" t="s">
        <v>790</v>
      </c>
      <c r="F428" s="6" t="s">
        <v>791</v>
      </c>
      <c r="G428" s="7" t="str">
        <f>IFERROR(_xlfn.XLOOKUP([1]!Registre[[#This Row],[ID_Antenne]],[1]Log_Réseaux!B:B,[1]Log_Réseaux!C:C),"NA")</f>
        <v>NA</v>
      </c>
      <c r="H428" s="7" t="str">
        <f>IFERROR(_xlfn.XLOOKUP([1]!Registre[[#This Row],[ID_Antenne]],[1]Log_Réseaux!B:B,[1]Log_Réseaux!D:D),"NA")</f>
        <v>NA</v>
      </c>
    </row>
    <row r="429" spans="1:8" x14ac:dyDescent="0.25">
      <c r="A429" s="6" t="s">
        <v>1223</v>
      </c>
      <c r="B429" s="6" t="s">
        <v>69</v>
      </c>
      <c r="C429" s="6">
        <v>2.486888</v>
      </c>
      <c r="D429" s="6">
        <v>23.798074</v>
      </c>
      <c r="E429" s="6" t="s">
        <v>796</v>
      </c>
      <c r="F429" s="6" t="s">
        <v>791</v>
      </c>
      <c r="G429" s="7">
        <f>IFERROR(_xlfn.XLOOKUP([1]!Registre[[#This Row],[ID_Antenne]],[1]Log_Réseaux!B:B,[1]Log_Réseaux!C:C),"NA")</f>
        <v>2</v>
      </c>
      <c r="H429" s="7">
        <f>IFERROR(_xlfn.XLOOKUP([1]!Registre[[#This Row],[ID_Antenne]],[1]Log_Réseaux!B:B,[1]Log_Réseaux!D:D),"NA")</f>
        <v>39</v>
      </c>
    </row>
    <row r="430" spans="1:8" x14ac:dyDescent="0.25">
      <c r="A430" s="6" t="s">
        <v>1224</v>
      </c>
      <c r="B430" s="6" t="s">
        <v>18</v>
      </c>
      <c r="C430" s="6">
        <v>-3.1608390000000002</v>
      </c>
      <c r="D430" s="6">
        <v>13.244503999999999</v>
      </c>
      <c r="E430" s="6" t="s">
        <v>800</v>
      </c>
      <c r="F430" s="6" t="s">
        <v>797</v>
      </c>
      <c r="G430" s="7">
        <f>IFERROR(_xlfn.XLOOKUP([1]!Registre[[#This Row],[ID_Antenne]],[1]Log_Réseaux!B:B,[1]Log_Réseaux!C:C),"NA")</f>
        <v>1</v>
      </c>
      <c r="H430" s="7">
        <f>IFERROR(_xlfn.XLOOKUP([1]!Registre[[#This Row],[ID_Antenne]],[1]Log_Réseaux!B:B,[1]Log_Réseaux!D:D),"NA")</f>
        <v>28</v>
      </c>
    </row>
    <row r="431" spans="1:8" x14ac:dyDescent="0.25">
      <c r="A431" s="6" t="s">
        <v>1225</v>
      </c>
      <c r="B431" s="6" t="s">
        <v>15</v>
      </c>
      <c r="C431" s="6">
        <v>-3.7900040000000002</v>
      </c>
      <c r="D431" s="6">
        <v>24.769718999999998</v>
      </c>
      <c r="E431" s="6" t="s">
        <v>796</v>
      </c>
      <c r="F431" s="6" t="s">
        <v>797</v>
      </c>
      <c r="G431" s="7" t="str">
        <f>IFERROR(_xlfn.XLOOKUP([1]!Registre[[#This Row],[ID_Antenne]],[1]Log_Réseaux!B:B,[1]Log_Réseaux!C:C),"NA")</f>
        <v>NA</v>
      </c>
      <c r="H431" s="7" t="str">
        <f>IFERROR(_xlfn.XLOOKUP([1]!Registre[[#This Row],[ID_Antenne]],[1]Log_Réseaux!B:B,[1]Log_Réseaux!D:D),"NA")</f>
        <v>NA</v>
      </c>
    </row>
    <row r="432" spans="1:8" x14ac:dyDescent="0.25">
      <c r="A432" s="6" t="s">
        <v>1226</v>
      </c>
      <c r="B432" s="6" t="s">
        <v>44</v>
      </c>
      <c r="C432" s="6">
        <v>3.7141999999999999</v>
      </c>
      <c r="D432" s="6">
        <v>28.547066999999998</v>
      </c>
      <c r="E432" s="6" t="s">
        <v>800</v>
      </c>
      <c r="F432" s="6" t="s">
        <v>791</v>
      </c>
      <c r="G432" s="7" t="str">
        <f>IFERROR(_xlfn.XLOOKUP([1]!Registre[[#This Row],[ID_Antenne]],[1]Log_Réseaux!B:B,[1]Log_Réseaux!C:C),"NA")</f>
        <v>NA</v>
      </c>
      <c r="H432" s="7" t="str">
        <f>IFERROR(_xlfn.XLOOKUP([1]!Registre[[#This Row],[ID_Antenne]],[1]Log_Réseaux!B:B,[1]Log_Réseaux!D:D),"NA")</f>
        <v>NA</v>
      </c>
    </row>
    <row r="433" spans="1:8" x14ac:dyDescent="0.25">
      <c r="A433" s="6" t="s">
        <v>1227</v>
      </c>
      <c r="B433" s="6" t="s">
        <v>40</v>
      </c>
      <c r="C433" s="6">
        <v>0.29375600000000002</v>
      </c>
      <c r="D433" s="6">
        <v>18.528884000000001</v>
      </c>
      <c r="E433" s="6" t="s">
        <v>796</v>
      </c>
      <c r="F433" s="6" t="s">
        <v>791</v>
      </c>
      <c r="G433" s="7" t="str">
        <f>IFERROR(_xlfn.XLOOKUP([1]!Registre[[#This Row],[ID_Antenne]],[1]Log_Réseaux!B:B,[1]Log_Réseaux!C:C),"NA")</f>
        <v>NA</v>
      </c>
      <c r="H433" s="7" t="str">
        <f>IFERROR(_xlfn.XLOOKUP([1]!Registre[[#This Row],[ID_Antenne]],[1]Log_Réseaux!B:B,[1]Log_Réseaux!D:D),"NA")</f>
        <v>NA</v>
      </c>
    </row>
    <row r="434" spans="1:8" x14ac:dyDescent="0.25">
      <c r="A434" s="6" t="s">
        <v>1228</v>
      </c>
      <c r="B434" s="6" t="s">
        <v>32</v>
      </c>
      <c r="C434" s="6">
        <v>-6.5332999999999997</v>
      </c>
      <c r="D434" s="6">
        <v>20.098018</v>
      </c>
      <c r="E434" s="6" t="s">
        <v>790</v>
      </c>
      <c r="F434" s="6" t="s">
        <v>797</v>
      </c>
      <c r="G434" s="7">
        <f>IFERROR(_xlfn.XLOOKUP([1]!Registre[[#This Row],[ID_Antenne]],[1]Log_Réseaux!B:B,[1]Log_Réseaux!C:C),"NA")</f>
        <v>1</v>
      </c>
      <c r="H434" s="7">
        <f>IFERROR(_xlfn.XLOOKUP([1]!Registre[[#This Row],[ID_Antenne]],[1]Log_Réseaux!B:B,[1]Log_Réseaux!D:D),"NA")</f>
        <v>5</v>
      </c>
    </row>
    <row r="435" spans="1:8" x14ac:dyDescent="0.25">
      <c r="A435" s="6" t="s">
        <v>1229</v>
      </c>
      <c r="B435" s="6" t="s">
        <v>22</v>
      </c>
      <c r="C435" s="6">
        <v>-1.500685</v>
      </c>
      <c r="D435" s="6">
        <v>26.563376000000002</v>
      </c>
      <c r="E435" s="6" t="s">
        <v>796</v>
      </c>
      <c r="F435" s="6" t="s">
        <v>793</v>
      </c>
      <c r="G435" s="7">
        <f>IFERROR(_xlfn.XLOOKUP([1]!Registre[[#This Row],[ID_Antenne]],[1]Log_Réseaux!B:B,[1]Log_Réseaux!C:C),"NA")</f>
        <v>1</v>
      </c>
      <c r="H435" s="7">
        <f>IFERROR(_xlfn.XLOOKUP([1]!Registre[[#This Row],[ID_Antenne]],[1]Log_Réseaux!B:B,[1]Log_Réseaux!D:D),"NA")</f>
        <v>81</v>
      </c>
    </row>
    <row r="436" spans="1:8" x14ac:dyDescent="0.25">
      <c r="A436" s="6" t="s">
        <v>1230</v>
      </c>
      <c r="B436" s="6" t="s">
        <v>38</v>
      </c>
      <c r="C436" s="6">
        <v>-9.4702129999999993</v>
      </c>
      <c r="D436" s="6">
        <v>12.826158</v>
      </c>
      <c r="E436" s="6" t="s">
        <v>800</v>
      </c>
      <c r="F436" s="6" t="s">
        <v>802</v>
      </c>
      <c r="G436" s="7">
        <f>IFERROR(_xlfn.XLOOKUP([1]!Registre[[#This Row],[ID_Antenne]],[1]Log_Réseaux!B:B,[1]Log_Réseaux!C:C),"NA")</f>
        <v>3</v>
      </c>
      <c r="H436" s="7">
        <f>IFERROR(_xlfn.XLOOKUP([1]!Registre[[#This Row],[ID_Antenne]],[1]Log_Réseaux!B:B,[1]Log_Réseaux!D:D),"NA")</f>
        <v>164</v>
      </c>
    </row>
    <row r="437" spans="1:8" x14ac:dyDescent="0.25">
      <c r="A437" s="6" t="s">
        <v>1231</v>
      </c>
      <c r="B437" s="6" t="s">
        <v>69</v>
      </c>
      <c r="C437" s="6">
        <v>0.98189400000000004</v>
      </c>
      <c r="D437" s="6">
        <v>13.008620000000001</v>
      </c>
      <c r="E437" s="6" t="s">
        <v>790</v>
      </c>
      <c r="F437" s="6" t="s">
        <v>797</v>
      </c>
      <c r="G437" s="7" t="str">
        <f>IFERROR(_xlfn.XLOOKUP([1]!Registre[[#This Row],[ID_Antenne]],[1]Log_Réseaux!B:B,[1]Log_Réseaux!C:C),"NA")</f>
        <v>NA</v>
      </c>
      <c r="H437" s="7" t="str">
        <f>IFERROR(_xlfn.XLOOKUP([1]!Registre[[#This Row],[ID_Antenne]],[1]Log_Réseaux!B:B,[1]Log_Réseaux!D:D),"NA")</f>
        <v>NA</v>
      </c>
    </row>
    <row r="438" spans="1:8" x14ac:dyDescent="0.25">
      <c r="A438" s="6" t="s">
        <v>1232</v>
      </c>
      <c r="B438" s="6" t="s">
        <v>105</v>
      </c>
      <c r="C438" s="6">
        <v>-4.8560549999999996</v>
      </c>
      <c r="D438" s="6">
        <v>15.889538999999999</v>
      </c>
      <c r="E438" s="6" t="s">
        <v>800</v>
      </c>
      <c r="F438" s="6" t="s">
        <v>797</v>
      </c>
      <c r="G438" s="7" t="str">
        <f>IFERROR(_xlfn.XLOOKUP([1]!Registre[[#This Row],[ID_Antenne]],[1]Log_Réseaux!B:B,[1]Log_Réseaux!C:C),"NA")</f>
        <v>NA</v>
      </c>
      <c r="H438" s="7" t="str">
        <f>IFERROR(_xlfn.XLOOKUP([1]!Registre[[#This Row],[ID_Antenne]],[1]Log_Réseaux!B:B,[1]Log_Réseaux!D:D),"NA")</f>
        <v>NA</v>
      </c>
    </row>
    <row r="439" spans="1:8" x14ac:dyDescent="0.25">
      <c r="A439" s="6" t="s">
        <v>1233</v>
      </c>
      <c r="B439" s="6" t="s">
        <v>28</v>
      </c>
      <c r="C439" s="6">
        <v>-10.790281</v>
      </c>
      <c r="D439" s="6">
        <v>12.624336</v>
      </c>
      <c r="E439" s="6" t="s">
        <v>790</v>
      </c>
      <c r="F439" s="6" t="s">
        <v>793</v>
      </c>
      <c r="G439" s="7" t="str">
        <f>IFERROR(_xlfn.XLOOKUP([1]!Registre[[#This Row],[ID_Antenne]],[1]Log_Réseaux!B:B,[1]Log_Réseaux!C:C),"NA")</f>
        <v>NA</v>
      </c>
      <c r="H439" s="7" t="str">
        <f>IFERROR(_xlfn.XLOOKUP([1]!Registre[[#This Row],[ID_Antenne]],[1]Log_Réseaux!B:B,[1]Log_Réseaux!D:D),"NA")</f>
        <v>NA</v>
      </c>
    </row>
    <row r="440" spans="1:8" x14ac:dyDescent="0.25">
      <c r="A440" s="6" t="s">
        <v>1234</v>
      </c>
      <c r="B440" s="6" t="s">
        <v>57</v>
      </c>
      <c r="C440" s="6">
        <v>4.0297190000000001</v>
      </c>
      <c r="D440" s="6">
        <v>20.699608000000001</v>
      </c>
      <c r="E440" s="6" t="s">
        <v>790</v>
      </c>
      <c r="F440" s="6" t="s">
        <v>802</v>
      </c>
      <c r="G440" s="7" t="str">
        <f>IFERROR(_xlfn.XLOOKUP([1]!Registre[[#This Row],[ID_Antenne]],[1]Log_Réseaux!B:B,[1]Log_Réseaux!C:C),"NA")</f>
        <v>NA</v>
      </c>
      <c r="H440" s="7" t="str">
        <f>IFERROR(_xlfn.XLOOKUP([1]!Registre[[#This Row],[ID_Antenne]],[1]Log_Réseaux!B:B,[1]Log_Réseaux!D:D),"NA")</f>
        <v>NA</v>
      </c>
    </row>
    <row r="441" spans="1:8" x14ac:dyDescent="0.25">
      <c r="A441" s="6" t="s">
        <v>1235</v>
      </c>
      <c r="B441" s="6" t="s">
        <v>32</v>
      </c>
      <c r="C441" s="6">
        <v>4.9455159999999996</v>
      </c>
      <c r="D441" s="6">
        <v>23.647746000000001</v>
      </c>
      <c r="E441" s="6" t="s">
        <v>796</v>
      </c>
      <c r="F441" s="6" t="s">
        <v>797</v>
      </c>
      <c r="G441" s="7">
        <f>IFERROR(_xlfn.XLOOKUP([1]!Registre[[#This Row],[ID_Antenne]],[1]Log_Réseaux!B:B,[1]Log_Réseaux!C:C),"NA")</f>
        <v>1</v>
      </c>
      <c r="H441" s="7">
        <f>IFERROR(_xlfn.XLOOKUP([1]!Registre[[#This Row],[ID_Antenne]],[1]Log_Réseaux!B:B,[1]Log_Réseaux!D:D),"NA")</f>
        <v>10</v>
      </c>
    </row>
    <row r="442" spans="1:8" x14ac:dyDescent="0.25">
      <c r="A442" s="6" t="s">
        <v>1236</v>
      </c>
      <c r="B442" s="6" t="s">
        <v>59</v>
      </c>
      <c r="C442" s="6">
        <v>-11.366868999999999</v>
      </c>
      <c r="D442" s="6">
        <v>26.155318000000001</v>
      </c>
      <c r="E442" s="6" t="s">
        <v>790</v>
      </c>
      <c r="F442" s="6" t="s">
        <v>797</v>
      </c>
      <c r="G442" s="7" t="str">
        <f>IFERROR(_xlfn.XLOOKUP([1]!Registre[[#This Row],[ID_Antenne]],[1]Log_Réseaux!B:B,[1]Log_Réseaux!C:C),"NA")</f>
        <v>NA</v>
      </c>
      <c r="H442" s="7" t="str">
        <f>IFERROR(_xlfn.XLOOKUP([1]!Registre[[#This Row],[ID_Antenne]],[1]Log_Réseaux!B:B,[1]Log_Réseaux!D:D),"NA")</f>
        <v>NA</v>
      </c>
    </row>
    <row r="443" spans="1:8" x14ac:dyDescent="0.25">
      <c r="A443" s="6" t="s">
        <v>1237</v>
      </c>
      <c r="B443" s="6" t="s">
        <v>22</v>
      </c>
      <c r="C443" s="6">
        <v>4.7044240000000004</v>
      </c>
      <c r="D443" s="6">
        <v>20.486409999999999</v>
      </c>
      <c r="E443" s="6" t="s">
        <v>790</v>
      </c>
      <c r="F443" s="6" t="s">
        <v>791</v>
      </c>
      <c r="G443" s="7" t="str">
        <f>IFERROR(_xlfn.XLOOKUP([1]!Registre[[#This Row],[ID_Antenne]],[1]Log_Réseaux!B:B,[1]Log_Réseaux!C:C),"NA")</f>
        <v>NA</v>
      </c>
      <c r="H443" s="7" t="str">
        <f>IFERROR(_xlfn.XLOOKUP([1]!Registre[[#This Row],[ID_Antenne]],[1]Log_Réseaux!B:B,[1]Log_Réseaux!D:D),"NA")</f>
        <v>NA</v>
      </c>
    </row>
    <row r="444" spans="1:8" x14ac:dyDescent="0.25">
      <c r="A444" s="6" t="s">
        <v>1238</v>
      </c>
      <c r="B444" s="6" t="s">
        <v>6</v>
      </c>
      <c r="C444" s="6">
        <v>-10.776204</v>
      </c>
      <c r="D444" s="6">
        <v>24.672934000000001</v>
      </c>
      <c r="E444" s="6" t="s">
        <v>790</v>
      </c>
      <c r="F444" s="6" t="s">
        <v>802</v>
      </c>
      <c r="G444" s="7">
        <f>IFERROR(_xlfn.XLOOKUP([1]!Registre[[#This Row],[ID_Antenne]],[1]Log_Réseaux!B:B,[1]Log_Réseaux!C:C),"NA")</f>
        <v>3</v>
      </c>
      <c r="H444" s="7">
        <f>IFERROR(_xlfn.XLOOKUP([1]!Registre[[#This Row],[ID_Antenne]],[1]Log_Réseaux!B:B,[1]Log_Réseaux!D:D),"NA")</f>
        <v>176</v>
      </c>
    </row>
    <row r="445" spans="1:8" x14ac:dyDescent="0.25">
      <c r="A445" s="6" t="s">
        <v>1239</v>
      </c>
      <c r="B445" s="6" t="s">
        <v>46</v>
      </c>
      <c r="C445" s="6">
        <v>-10.414493</v>
      </c>
      <c r="D445" s="6">
        <v>12.333356999999999</v>
      </c>
      <c r="E445" s="6" t="s">
        <v>800</v>
      </c>
      <c r="F445" s="6" t="s">
        <v>802</v>
      </c>
      <c r="G445" s="7">
        <f>IFERROR(_xlfn.XLOOKUP([1]!Registre[[#This Row],[ID_Antenne]],[1]Log_Réseaux!B:B,[1]Log_Réseaux!C:C),"NA")</f>
        <v>4</v>
      </c>
      <c r="H445" s="7">
        <f>IFERROR(_xlfn.XLOOKUP([1]!Registre[[#This Row],[ID_Antenne]],[1]Log_Réseaux!B:B,[1]Log_Réseaux!D:D),"NA")</f>
        <v>273</v>
      </c>
    </row>
    <row r="446" spans="1:8" x14ac:dyDescent="0.25">
      <c r="A446" s="6" t="s">
        <v>1240</v>
      </c>
      <c r="B446" s="6" t="s">
        <v>28</v>
      </c>
      <c r="C446" s="6">
        <v>-6.0946619999999996</v>
      </c>
      <c r="D446" s="6">
        <v>20.757277999999999</v>
      </c>
      <c r="E446" s="6" t="s">
        <v>796</v>
      </c>
      <c r="F446" s="6" t="s">
        <v>797</v>
      </c>
      <c r="G446" s="7" t="str">
        <f>IFERROR(_xlfn.XLOOKUP([1]!Registre[[#This Row],[ID_Antenne]],[1]Log_Réseaux!B:B,[1]Log_Réseaux!C:C),"NA")</f>
        <v>NA</v>
      </c>
      <c r="H446" s="7" t="str">
        <f>IFERROR(_xlfn.XLOOKUP([1]!Registre[[#This Row],[ID_Antenne]],[1]Log_Réseaux!B:B,[1]Log_Réseaux!D:D),"NA")</f>
        <v>NA</v>
      </c>
    </row>
    <row r="447" spans="1:8" x14ac:dyDescent="0.25">
      <c r="A447" s="6" t="s">
        <v>1241</v>
      </c>
      <c r="B447" s="6" t="s">
        <v>40</v>
      </c>
      <c r="C447" s="6">
        <v>2.7355830000000001</v>
      </c>
      <c r="D447" s="6">
        <v>22.006969000000002</v>
      </c>
      <c r="E447" s="6" t="s">
        <v>796</v>
      </c>
      <c r="F447" s="6" t="s">
        <v>802</v>
      </c>
      <c r="G447" s="7" t="str">
        <f>IFERROR(_xlfn.XLOOKUP([1]!Registre[[#This Row],[ID_Antenne]],[1]Log_Réseaux!B:B,[1]Log_Réseaux!C:C),"NA")</f>
        <v>NA</v>
      </c>
      <c r="H447" s="7" t="str">
        <f>IFERROR(_xlfn.XLOOKUP([1]!Registre[[#This Row],[ID_Antenne]],[1]Log_Réseaux!B:B,[1]Log_Réseaux!D:D),"NA")</f>
        <v>NA</v>
      </c>
    </row>
    <row r="448" spans="1:8" x14ac:dyDescent="0.25">
      <c r="A448" s="6" t="s">
        <v>1242</v>
      </c>
      <c r="B448" s="6" t="s">
        <v>72</v>
      </c>
      <c r="C448" s="6">
        <v>-7.31691</v>
      </c>
      <c r="D448" s="6">
        <v>29.836627</v>
      </c>
      <c r="E448" s="6" t="s">
        <v>796</v>
      </c>
      <c r="F448" s="6" t="s">
        <v>791</v>
      </c>
      <c r="G448" s="7" t="str">
        <f>IFERROR(_xlfn.XLOOKUP([1]!Registre[[#This Row],[ID_Antenne]],[1]Log_Réseaux!B:B,[1]Log_Réseaux!C:C),"NA")</f>
        <v>NA</v>
      </c>
      <c r="H448" s="7" t="str">
        <f>IFERROR(_xlfn.XLOOKUP([1]!Registre[[#This Row],[ID_Antenne]],[1]Log_Réseaux!B:B,[1]Log_Réseaux!D:D),"NA")</f>
        <v>NA</v>
      </c>
    </row>
    <row r="449" spans="1:8" x14ac:dyDescent="0.25">
      <c r="A449" s="6" t="s">
        <v>1243</v>
      </c>
      <c r="B449" s="6" t="s">
        <v>97</v>
      </c>
      <c r="C449" s="6">
        <v>-11.771884</v>
      </c>
      <c r="D449" s="6">
        <v>18.089172999999999</v>
      </c>
      <c r="E449" s="6" t="s">
        <v>790</v>
      </c>
      <c r="F449" s="6" t="s">
        <v>793</v>
      </c>
      <c r="G449" s="7" t="str">
        <f>IFERROR(_xlfn.XLOOKUP([1]!Registre[[#This Row],[ID_Antenne]],[1]Log_Réseaux!B:B,[1]Log_Réseaux!C:C),"NA")</f>
        <v>NA</v>
      </c>
      <c r="H449" s="7" t="str">
        <f>IFERROR(_xlfn.XLOOKUP([1]!Registre[[#This Row],[ID_Antenne]],[1]Log_Réseaux!B:B,[1]Log_Réseaux!D:D),"NA")</f>
        <v>NA</v>
      </c>
    </row>
    <row r="450" spans="1:8" x14ac:dyDescent="0.25">
      <c r="A450" s="6" t="s">
        <v>1244</v>
      </c>
      <c r="B450" s="6" t="s">
        <v>97</v>
      </c>
      <c r="C450" s="6">
        <v>-5.4126279999999998</v>
      </c>
      <c r="D450" s="6">
        <v>25.498235999999999</v>
      </c>
      <c r="E450" s="6" t="s">
        <v>796</v>
      </c>
      <c r="F450" s="6" t="s">
        <v>791</v>
      </c>
      <c r="G450" s="7">
        <f>IFERROR(_xlfn.XLOOKUP([1]!Registre[[#This Row],[ID_Antenne]],[1]Log_Réseaux!B:B,[1]Log_Réseaux!C:C),"NA")</f>
        <v>1</v>
      </c>
      <c r="H450" s="7">
        <f>IFERROR(_xlfn.XLOOKUP([1]!Registre[[#This Row],[ID_Antenne]],[1]Log_Réseaux!B:B,[1]Log_Réseaux!D:D),"NA")</f>
        <v>96</v>
      </c>
    </row>
    <row r="451" spans="1:8" x14ac:dyDescent="0.25">
      <c r="A451" s="6" t="s">
        <v>1245</v>
      </c>
      <c r="B451" s="6" t="s">
        <v>34</v>
      </c>
      <c r="C451" s="6">
        <v>-11.218453999999999</v>
      </c>
      <c r="D451" s="6">
        <v>28.230025000000001</v>
      </c>
      <c r="E451" s="6" t="s">
        <v>796</v>
      </c>
      <c r="F451" s="6" t="s">
        <v>791</v>
      </c>
      <c r="G451" s="7">
        <f>IFERROR(_xlfn.XLOOKUP([1]!Registre[[#This Row],[ID_Antenne]],[1]Log_Réseaux!B:B,[1]Log_Réseaux!C:C),"NA")</f>
        <v>2</v>
      </c>
      <c r="H451" s="7">
        <f>IFERROR(_xlfn.XLOOKUP([1]!Registre[[#This Row],[ID_Antenne]],[1]Log_Réseaux!B:B,[1]Log_Réseaux!D:D),"NA")</f>
        <v>155</v>
      </c>
    </row>
    <row r="452" spans="1:8" x14ac:dyDescent="0.25">
      <c r="A452" s="6" t="s">
        <v>1246</v>
      </c>
      <c r="B452" s="6" t="s">
        <v>69</v>
      </c>
      <c r="C452" s="6">
        <v>-11.727425</v>
      </c>
      <c r="D452" s="6">
        <v>27.198173000000001</v>
      </c>
      <c r="E452" s="6" t="s">
        <v>800</v>
      </c>
      <c r="F452" s="6" t="s">
        <v>802</v>
      </c>
      <c r="G452" s="7" t="str">
        <f>IFERROR(_xlfn.XLOOKUP([1]!Registre[[#This Row],[ID_Antenne]],[1]Log_Réseaux!B:B,[1]Log_Réseaux!C:C),"NA")</f>
        <v>NA</v>
      </c>
      <c r="H452" s="7" t="str">
        <f>IFERROR(_xlfn.XLOOKUP([1]!Registre[[#This Row],[ID_Antenne]],[1]Log_Réseaux!B:B,[1]Log_Réseaux!D:D),"NA")</f>
        <v>NA</v>
      </c>
    </row>
    <row r="453" spans="1:8" x14ac:dyDescent="0.25">
      <c r="A453" s="6" t="s">
        <v>1247</v>
      </c>
      <c r="B453" s="6" t="s">
        <v>38</v>
      </c>
      <c r="C453" s="6">
        <v>-3.3081109999999998</v>
      </c>
      <c r="D453" s="6">
        <v>29.700202000000001</v>
      </c>
      <c r="E453" s="6" t="s">
        <v>790</v>
      </c>
      <c r="F453" s="6" t="s">
        <v>793</v>
      </c>
      <c r="G453" s="7" t="str">
        <f>IFERROR(_xlfn.XLOOKUP([1]!Registre[[#This Row],[ID_Antenne]],[1]Log_Réseaux!B:B,[1]Log_Réseaux!C:C),"NA")</f>
        <v>NA</v>
      </c>
      <c r="H453" s="7" t="str">
        <f>IFERROR(_xlfn.XLOOKUP([1]!Registre[[#This Row],[ID_Antenne]],[1]Log_Réseaux!B:B,[1]Log_Réseaux!D:D),"NA")</f>
        <v>NA</v>
      </c>
    </row>
    <row r="454" spans="1:8" x14ac:dyDescent="0.25">
      <c r="A454" s="6" t="s">
        <v>1248</v>
      </c>
      <c r="B454" s="6" t="s">
        <v>30</v>
      </c>
      <c r="C454" s="6">
        <v>-0.65356899999999996</v>
      </c>
      <c r="D454" s="6">
        <v>25.343032999999998</v>
      </c>
      <c r="E454" s="6" t="s">
        <v>790</v>
      </c>
      <c r="F454" s="6" t="s">
        <v>802</v>
      </c>
      <c r="G454" s="7" t="str">
        <f>IFERROR(_xlfn.XLOOKUP([1]!Registre[[#This Row],[ID_Antenne]],[1]Log_Réseaux!B:B,[1]Log_Réseaux!C:C),"NA")</f>
        <v>NA</v>
      </c>
      <c r="H454" s="7" t="str">
        <f>IFERROR(_xlfn.XLOOKUP([1]!Registre[[#This Row],[ID_Antenne]],[1]Log_Réseaux!B:B,[1]Log_Réseaux!D:D),"NA")</f>
        <v>NA</v>
      </c>
    </row>
    <row r="455" spans="1:8" x14ac:dyDescent="0.25">
      <c r="A455" s="6" t="s">
        <v>1249</v>
      </c>
      <c r="B455" s="6" t="s">
        <v>32</v>
      </c>
      <c r="C455" s="6">
        <v>-11.231472</v>
      </c>
      <c r="D455" s="6">
        <v>25.388874000000001</v>
      </c>
      <c r="E455" s="6" t="s">
        <v>790</v>
      </c>
      <c r="F455" s="6" t="s">
        <v>797</v>
      </c>
      <c r="G455" s="7">
        <f>IFERROR(_xlfn.XLOOKUP([1]!Registre[[#This Row],[ID_Antenne]],[1]Log_Réseaux!B:B,[1]Log_Réseaux!C:C),"NA")</f>
        <v>1</v>
      </c>
      <c r="H455" s="7">
        <f>IFERROR(_xlfn.XLOOKUP([1]!Registre[[#This Row],[ID_Antenne]],[1]Log_Réseaux!B:B,[1]Log_Réseaux!D:D),"NA")</f>
        <v>36</v>
      </c>
    </row>
    <row r="456" spans="1:8" x14ac:dyDescent="0.25">
      <c r="A456" s="6" t="s">
        <v>1250</v>
      </c>
      <c r="B456" s="6" t="s">
        <v>44</v>
      </c>
      <c r="C456" s="6">
        <v>2.016505</v>
      </c>
      <c r="D456" s="6">
        <v>14.294164</v>
      </c>
      <c r="E456" s="6" t="s">
        <v>796</v>
      </c>
      <c r="F456" s="6" t="s">
        <v>797</v>
      </c>
      <c r="G456" s="7">
        <f>IFERROR(_xlfn.XLOOKUP([1]!Registre[[#This Row],[ID_Antenne]],[1]Log_Réseaux!B:B,[1]Log_Réseaux!C:C),"NA")</f>
        <v>2</v>
      </c>
      <c r="H456" s="7">
        <f>IFERROR(_xlfn.XLOOKUP([1]!Registre[[#This Row],[ID_Antenne]],[1]Log_Réseaux!B:B,[1]Log_Réseaux!D:D),"NA")</f>
        <v>138</v>
      </c>
    </row>
    <row r="457" spans="1:8" x14ac:dyDescent="0.25">
      <c r="A457" s="6" t="s">
        <v>1251</v>
      </c>
      <c r="B457" s="6" t="s">
        <v>65</v>
      </c>
      <c r="C457" s="6">
        <v>-12.070842000000001</v>
      </c>
      <c r="D457" s="6">
        <v>14.757847</v>
      </c>
      <c r="E457" s="6" t="s">
        <v>790</v>
      </c>
      <c r="F457" s="6" t="s">
        <v>791</v>
      </c>
      <c r="G457" s="7">
        <f>IFERROR(_xlfn.XLOOKUP([1]!Registre[[#This Row],[ID_Antenne]],[1]Log_Réseaux!B:B,[1]Log_Réseaux!C:C),"NA")</f>
        <v>1</v>
      </c>
      <c r="H457" s="7">
        <f>IFERROR(_xlfn.XLOOKUP([1]!Registre[[#This Row],[ID_Antenne]],[1]Log_Réseaux!B:B,[1]Log_Réseaux!D:D),"NA")</f>
        <v>64</v>
      </c>
    </row>
    <row r="458" spans="1:8" x14ac:dyDescent="0.25">
      <c r="A458" s="6" t="s">
        <v>1252</v>
      </c>
      <c r="B458" s="6" t="s">
        <v>40</v>
      </c>
      <c r="C458" s="6">
        <v>-2.2199559999999998</v>
      </c>
      <c r="D458" s="6">
        <v>22.614449</v>
      </c>
      <c r="E458" s="6" t="s">
        <v>800</v>
      </c>
      <c r="F458" s="6" t="s">
        <v>793</v>
      </c>
      <c r="G458" s="7">
        <f>IFERROR(_xlfn.XLOOKUP([1]!Registre[[#This Row],[ID_Antenne]],[1]Log_Réseaux!B:B,[1]Log_Réseaux!C:C),"NA")</f>
        <v>1</v>
      </c>
      <c r="H458" s="7">
        <f>IFERROR(_xlfn.XLOOKUP([1]!Registre[[#This Row],[ID_Antenne]],[1]Log_Réseaux!B:B,[1]Log_Réseaux!D:D),"NA")</f>
        <v>52</v>
      </c>
    </row>
    <row r="459" spans="1:8" x14ac:dyDescent="0.25">
      <c r="A459" s="6" t="s">
        <v>1253</v>
      </c>
      <c r="B459" s="6" t="s">
        <v>48</v>
      </c>
      <c r="C459" s="6">
        <v>-10.914952</v>
      </c>
      <c r="D459" s="6">
        <v>26.409648000000001</v>
      </c>
      <c r="E459" s="6" t="s">
        <v>790</v>
      </c>
      <c r="F459" s="6" t="s">
        <v>797</v>
      </c>
      <c r="G459" s="7">
        <f>IFERROR(_xlfn.XLOOKUP([1]!Registre[[#This Row],[ID_Antenne]],[1]Log_Réseaux!B:B,[1]Log_Réseaux!C:C),"NA")</f>
        <v>3</v>
      </c>
      <c r="H459" s="7">
        <f>IFERROR(_xlfn.XLOOKUP([1]!Registre[[#This Row],[ID_Antenne]],[1]Log_Réseaux!B:B,[1]Log_Réseaux!D:D),"NA")</f>
        <v>289</v>
      </c>
    </row>
    <row r="460" spans="1:8" x14ac:dyDescent="0.25">
      <c r="A460" s="6" t="s">
        <v>1254</v>
      </c>
      <c r="B460" s="6" t="s">
        <v>6</v>
      </c>
      <c r="C460" s="6">
        <v>-1.864393</v>
      </c>
      <c r="D460" s="6">
        <v>21.453434000000001</v>
      </c>
      <c r="E460" s="6" t="s">
        <v>796</v>
      </c>
      <c r="F460" s="6" t="s">
        <v>802</v>
      </c>
      <c r="G460" s="7">
        <f>IFERROR(_xlfn.XLOOKUP([1]!Registre[[#This Row],[ID_Antenne]],[1]Log_Réseaux!B:B,[1]Log_Réseaux!C:C),"NA")</f>
        <v>1</v>
      </c>
      <c r="H460" s="7">
        <f>IFERROR(_xlfn.XLOOKUP([1]!Registre[[#This Row],[ID_Antenne]],[1]Log_Réseaux!B:B,[1]Log_Réseaux!D:D),"NA")</f>
        <v>21</v>
      </c>
    </row>
    <row r="461" spans="1:8" x14ac:dyDescent="0.25">
      <c r="A461" s="6" t="s">
        <v>1255</v>
      </c>
      <c r="B461" s="6" t="s">
        <v>46</v>
      </c>
      <c r="C461" s="6">
        <v>-6.6803710000000001</v>
      </c>
      <c r="D461" s="6">
        <v>21.955673000000001</v>
      </c>
      <c r="E461" s="6" t="s">
        <v>790</v>
      </c>
      <c r="F461" s="6" t="s">
        <v>793</v>
      </c>
      <c r="G461" s="7">
        <f>IFERROR(_xlfn.XLOOKUP([1]!Registre[[#This Row],[ID_Antenne]],[1]Log_Réseaux!B:B,[1]Log_Réseaux!C:C),"NA")</f>
        <v>1</v>
      </c>
      <c r="H461" s="7">
        <f>IFERROR(_xlfn.XLOOKUP([1]!Registre[[#This Row],[ID_Antenne]],[1]Log_Réseaux!B:B,[1]Log_Réseaux!D:D),"NA")</f>
        <v>5</v>
      </c>
    </row>
    <row r="462" spans="1:8" x14ac:dyDescent="0.25">
      <c r="A462" s="6" t="s">
        <v>1256</v>
      </c>
      <c r="B462" s="6" t="s">
        <v>65</v>
      </c>
      <c r="C462" s="6">
        <v>-9.4056660000000001</v>
      </c>
      <c r="D462" s="6">
        <v>15.541930000000001</v>
      </c>
      <c r="E462" s="6" t="s">
        <v>790</v>
      </c>
      <c r="F462" s="6" t="s">
        <v>797</v>
      </c>
      <c r="G462" s="7" t="str">
        <f>IFERROR(_xlfn.XLOOKUP([1]!Registre[[#This Row],[ID_Antenne]],[1]Log_Réseaux!B:B,[1]Log_Réseaux!C:C),"NA")</f>
        <v>NA</v>
      </c>
      <c r="H462" s="7" t="str">
        <f>IFERROR(_xlfn.XLOOKUP([1]!Registre[[#This Row],[ID_Antenne]],[1]Log_Réseaux!B:B,[1]Log_Réseaux!D:D),"NA")</f>
        <v>NA</v>
      </c>
    </row>
    <row r="463" spans="1:8" x14ac:dyDescent="0.25">
      <c r="A463" s="6" t="s">
        <v>1257</v>
      </c>
      <c r="B463" s="6" t="s">
        <v>30</v>
      </c>
      <c r="C463" s="6">
        <v>-11.002602</v>
      </c>
      <c r="D463" s="6">
        <v>23.918247999999998</v>
      </c>
      <c r="E463" s="6" t="s">
        <v>796</v>
      </c>
      <c r="F463" s="6" t="s">
        <v>791</v>
      </c>
      <c r="G463" s="7">
        <f>IFERROR(_xlfn.XLOOKUP([1]!Registre[[#This Row],[ID_Antenne]],[1]Log_Réseaux!B:B,[1]Log_Réseaux!C:C),"NA")</f>
        <v>1</v>
      </c>
      <c r="H463" s="7">
        <f>IFERROR(_xlfn.XLOOKUP([1]!Registre[[#This Row],[ID_Antenne]],[1]Log_Réseaux!B:B,[1]Log_Réseaux!D:D),"NA")</f>
        <v>48</v>
      </c>
    </row>
    <row r="464" spans="1:8" x14ac:dyDescent="0.25">
      <c r="A464" s="6" t="s">
        <v>1258</v>
      </c>
      <c r="B464" s="6" t="s">
        <v>72</v>
      </c>
      <c r="C464" s="6">
        <v>-10.375266999999999</v>
      </c>
      <c r="D464" s="6">
        <v>17.993663000000002</v>
      </c>
      <c r="E464" s="6" t="s">
        <v>796</v>
      </c>
      <c r="F464" s="6" t="s">
        <v>791</v>
      </c>
      <c r="G464" s="7">
        <f>IFERROR(_xlfn.XLOOKUP([1]!Registre[[#This Row],[ID_Antenne]],[1]Log_Réseaux!B:B,[1]Log_Réseaux!C:C),"NA")</f>
        <v>1</v>
      </c>
      <c r="H464" s="7">
        <f>IFERROR(_xlfn.XLOOKUP([1]!Registre[[#This Row],[ID_Antenne]],[1]Log_Réseaux!B:B,[1]Log_Réseaux!D:D),"NA")</f>
        <v>68</v>
      </c>
    </row>
    <row r="465" spans="1:8" x14ac:dyDescent="0.25">
      <c r="A465" s="6" t="s">
        <v>1259</v>
      </c>
      <c r="B465" s="6" t="s">
        <v>42</v>
      </c>
      <c r="C465" s="6">
        <v>-10.165072</v>
      </c>
      <c r="D465" s="6">
        <v>29.428024000000001</v>
      </c>
      <c r="E465" s="6" t="s">
        <v>796</v>
      </c>
      <c r="F465" s="6" t="s">
        <v>797</v>
      </c>
      <c r="G465" s="7">
        <f>IFERROR(_xlfn.XLOOKUP([1]!Registre[[#This Row],[ID_Antenne]],[1]Log_Réseaux!B:B,[1]Log_Réseaux!C:C),"NA")</f>
        <v>3</v>
      </c>
      <c r="H465" s="7">
        <f>IFERROR(_xlfn.XLOOKUP([1]!Registre[[#This Row],[ID_Antenne]],[1]Log_Réseaux!B:B,[1]Log_Réseaux!D:D),"NA")</f>
        <v>160</v>
      </c>
    </row>
    <row r="466" spans="1:8" x14ac:dyDescent="0.25">
      <c r="A466" s="6" t="s">
        <v>1260</v>
      </c>
      <c r="B466" s="6" t="s">
        <v>15</v>
      </c>
      <c r="C466" s="6">
        <v>-10.451371</v>
      </c>
      <c r="D466" s="6">
        <v>24.38336</v>
      </c>
      <c r="E466" s="6" t="s">
        <v>800</v>
      </c>
      <c r="F466" s="6" t="s">
        <v>802</v>
      </c>
      <c r="G466" s="7" t="str">
        <f>IFERROR(_xlfn.XLOOKUP([1]!Registre[[#This Row],[ID_Antenne]],[1]Log_Réseaux!B:B,[1]Log_Réseaux!C:C),"NA")</f>
        <v>NA</v>
      </c>
      <c r="H466" s="7" t="str">
        <f>IFERROR(_xlfn.XLOOKUP([1]!Registre[[#This Row],[ID_Antenne]],[1]Log_Réseaux!B:B,[1]Log_Réseaux!D:D),"NA")</f>
        <v>NA</v>
      </c>
    </row>
    <row r="467" spans="1:8" x14ac:dyDescent="0.25">
      <c r="A467" s="6" t="s">
        <v>1261</v>
      </c>
      <c r="B467" s="6" t="s">
        <v>57</v>
      </c>
      <c r="C467" s="6">
        <v>3.0184790000000001</v>
      </c>
      <c r="D467" s="6">
        <v>27.188068000000001</v>
      </c>
      <c r="E467" s="6" t="s">
        <v>796</v>
      </c>
      <c r="F467" s="6" t="s">
        <v>802</v>
      </c>
      <c r="G467" s="7" t="str">
        <f>IFERROR(_xlfn.XLOOKUP([1]!Registre[[#This Row],[ID_Antenne]],[1]Log_Réseaux!B:B,[1]Log_Réseaux!C:C),"NA")</f>
        <v>NA</v>
      </c>
      <c r="H467" s="7" t="str">
        <f>IFERROR(_xlfn.XLOOKUP([1]!Registre[[#This Row],[ID_Antenne]],[1]Log_Réseaux!B:B,[1]Log_Réseaux!D:D),"NA")</f>
        <v>NA</v>
      </c>
    </row>
    <row r="468" spans="1:8" x14ac:dyDescent="0.25">
      <c r="A468" s="6" t="s">
        <v>1262</v>
      </c>
      <c r="B468" s="6" t="s">
        <v>156</v>
      </c>
      <c r="C468" s="6">
        <v>-7.5180249999999997</v>
      </c>
      <c r="D468" s="6">
        <v>20.478905999999998</v>
      </c>
      <c r="E468" s="6" t="s">
        <v>796</v>
      </c>
      <c r="F468" s="6" t="s">
        <v>793</v>
      </c>
      <c r="G468" s="7" t="str">
        <f>IFERROR(_xlfn.XLOOKUP([1]!Registre[[#This Row],[ID_Antenne]],[1]Log_Réseaux!B:B,[1]Log_Réseaux!C:C),"NA")</f>
        <v>NA</v>
      </c>
      <c r="H468" s="7" t="str">
        <f>IFERROR(_xlfn.XLOOKUP([1]!Registre[[#This Row],[ID_Antenne]],[1]Log_Réseaux!B:B,[1]Log_Réseaux!D:D),"NA")</f>
        <v>NA</v>
      </c>
    </row>
    <row r="469" spans="1:8" x14ac:dyDescent="0.25">
      <c r="A469" s="6" t="s">
        <v>1263</v>
      </c>
      <c r="B469" s="6" t="s">
        <v>69</v>
      </c>
      <c r="C469" s="6">
        <v>-5.3337589999999997</v>
      </c>
      <c r="D469" s="6">
        <v>13.246924</v>
      </c>
      <c r="E469" s="6" t="s">
        <v>800</v>
      </c>
      <c r="F469" s="6" t="s">
        <v>802</v>
      </c>
      <c r="G469" s="7" t="str">
        <f>IFERROR(_xlfn.XLOOKUP([1]!Registre[[#This Row],[ID_Antenne]],[1]Log_Réseaux!B:B,[1]Log_Réseaux!C:C),"NA")</f>
        <v>NA</v>
      </c>
      <c r="H469" s="7" t="str">
        <f>IFERROR(_xlfn.XLOOKUP([1]!Registre[[#This Row],[ID_Antenne]],[1]Log_Réseaux!B:B,[1]Log_Réseaux!D:D),"NA")</f>
        <v>NA</v>
      </c>
    </row>
    <row r="470" spans="1:8" x14ac:dyDescent="0.25">
      <c r="A470" s="6" t="s">
        <v>1264</v>
      </c>
      <c r="B470" s="6" t="s">
        <v>6</v>
      </c>
      <c r="C470" s="6">
        <v>-2.4662510000000002</v>
      </c>
      <c r="D470" s="6">
        <v>18.007998000000001</v>
      </c>
      <c r="E470" s="6" t="s">
        <v>796</v>
      </c>
      <c r="F470" s="6" t="s">
        <v>802</v>
      </c>
      <c r="G470" s="7">
        <f>IFERROR(_xlfn.XLOOKUP([1]!Registre[[#This Row],[ID_Antenne]],[1]Log_Réseaux!B:B,[1]Log_Réseaux!C:C),"NA")</f>
        <v>2</v>
      </c>
      <c r="H470" s="7">
        <f>IFERROR(_xlfn.XLOOKUP([1]!Registre[[#This Row],[ID_Antenne]],[1]Log_Réseaux!B:B,[1]Log_Réseaux!D:D),"NA")</f>
        <v>51</v>
      </c>
    </row>
    <row r="471" spans="1:8" x14ac:dyDescent="0.25">
      <c r="A471" s="6" t="s">
        <v>1265</v>
      </c>
      <c r="B471" s="6" t="s">
        <v>72</v>
      </c>
      <c r="C471" s="6">
        <v>-4.8128659999999996</v>
      </c>
      <c r="D471" s="6">
        <v>18.559304999999998</v>
      </c>
      <c r="E471" s="6" t="s">
        <v>796</v>
      </c>
      <c r="F471" s="6" t="s">
        <v>791</v>
      </c>
      <c r="G471" s="7">
        <f>IFERROR(_xlfn.XLOOKUP([1]!Registre[[#This Row],[ID_Antenne]],[1]Log_Réseaux!B:B,[1]Log_Réseaux!C:C),"NA")</f>
        <v>1</v>
      </c>
      <c r="H471" s="7">
        <f>IFERROR(_xlfn.XLOOKUP([1]!Registre[[#This Row],[ID_Antenne]],[1]Log_Réseaux!B:B,[1]Log_Réseaux!D:D),"NA")</f>
        <v>73</v>
      </c>
    </row>
    <row r="472" spans="1:8" x14ac:dyDescent="0.25">
      <c r="A472" s="6" t="s">
        <v>1266</v>
      </c>
      <c r="B472" s="6" t="s">
        <v>65</v>
      </c>
      <c r="C472" s="6">
        <v>0.23583499999999999</v>
      </c>
      <c r="D472" s="6">
        <v>24.889558999999998</v>
      </c>
      <c r="E472" s="6" t="s">
        <v>800</v>
      </c>
      <c r="F472" s="6" t="s">
        <v>791</v>
      </c>
      <c r="G472" s="7">
        <f>IFERROR(_xlfn.XLOOKUP([1]!Registre[[#This Row],[ID_Antenne]],[1]Log_Réseaux!B:B,[1]Log_Réseaux!C:C),"NA")</f>
        <v>1</v>
      </c>
      <c r="H472" s="7">
        <f>IFERROR(_xlfn.XLOOKUP([1]!Registre[[#This Row],[ID_Antenne]],[1]Log_Réseaux!B:B,[1]Log_Réseaux!D:D),"NA")</f>
        <v>64</v>
      </c>
    </row>
    <row r="473" spans="1:8" x14ac:dyDescent="0.25">
      <c r="A473" s="6" t="s">
        <v>1267</v>
      </c>
      <c r="B473" s="6" t="s">
        <v>65</v>
      </c>
      <c r="C473" s="6">
        <v>-6.419365</v>
      </c>
      <c r="D473" s="6">
        <v>17.570219000000002</v>
      </c>
      <c r="E473" s="6" t="s">
        <v>790</v>
      </c>
      <c r="F473" s="6" t="s">
        <v>797</v>
      </c>
      <c r="G473" s="7" t="str">
        <f>IFERROR(_xlfn.XLOOKUP([1]!Registre[[#This Row],[ID_Antenne]],[1]Log_Réseaux!B:B,[1]Log_Réseaux!C:C),"NA")</f>
        <v>NA</v>
      </c>
      <c r="H473" s="7" t="str">
        <f>IFERROR(_xlfn.XLOOKUP([1]!Registre[[#This Row],[ID_Antenne]],[1]Log_Réseaux!B:B,[1]Log_Réseaux!D:D),"NA")</f>
        <v>NA</v>
      </c>
    </row>
    <row r="474" spans="1:8" x14ac:dyDescent="0.25">
      <c r="A474" s="6" t="s">
        <v>1268</v>
      </c>
      <c r="B474" s="6" t="s">
        <v>18</v>
      </c>
      <c r="C474" s="6">
        <v>-1.598759</v>
      </c>
      <c r="D474" s="6">
        <v>17.553023</v>
      </c>
      <c r="E474" s="6" t="s">
        <v>790</v>
      </c>
      <c r="F474" s="6" t="s">
        <v>797</v>
      </c>
      <c r="G474" s="7" t="str">
        <f>IFERROR(_xlfn.XLOOKUP([1]!Registre[[#This Row],[ID_Antenne]],[1]Log_Réseaux!B:B,[1]Log_Réseaux!C:C),"NA")</f>
        <v>NA</v>
      </c>
      <c r="H474" s="7" t="str">
        <f>IFERROR(_xlfn.XLOOKUP([1]!Registre[[#This Row],[ID_Antenne]],[1]Log_Réseaux!B:B,[1]Log_Réseaux!D:D),"NA")</f>
        <v>NA</v>
      </c>
    </row>
    <row r="475" spans="1:8" x14ac:dyDescent="0.25">
      <c r="A475" s="6" t="s">
        <v>1269</v>
      </c>
      <c r="B475" s="6" t="s">
        <v>15</v>
      </c>
      <c r="C475" s="6">
        <v>-1.9080220000000001</v>
      </c>
      <c r="D475" s="6">
        <v>19.233322999999999</v>
      </c>
      <c r="E475" s="6" t="s">
        <v>800</v>
      </c>
      <c r="F475" s="6" t="s">
        <v>802</v>
      </c>
      <c r="G475" s="7" t="str">
        <f>IFERROR(_xlfn.XLOOKUP([1]!Registre[[#This Row],[ID_Antenne]],[1]Log_Réseaux!B:B,[1]Log_Réseaux!C:C),"NA")</f>
        <v>NA</v>
      </c>
      <c r="H475" s="7" t="str">
        <f>IFERROR(_xlfn.XLOOKUP([1]!Registre[[#This Row],[ID_Antenne]],[1]Log_Réseaux!B:B,[1]Log_Réseaux!D:D),"NA")</f>
        <v>NA</v>
      </c>
    </row>
    <row r="476" spans="1:8" x14ac:dyDescent="0.25">
      <c r="A476" s="6" t="s">
        <v>1270</v>
      </c>
      <c r="B476" s="6" t="s">
        <v>59</v>
      </c>
      <c r="C476" s="6">
        <v>3.3289240000000002</v>
      </c>
      <c r="D476" s="6">
        <v>24.412261000000001</v>
      </c>
      <c r="E476" s="6" t="s">
        <v>796</v>
      </c>
      <c r="F476" s="6" t="s">
        <v>793</v>
      </c>
      <c r="G476" s="7">
        <f>IFERROR(_xlfn.XLOOKUP([1]!Registre[[#This Row],[ID_Antenne]],[1]Log_Réseaux!B:B,[1]Log_Réseaux!C:C),"NA")</f>
        <v>1</v>
      </c>
      <c r="H476" s="7">
        <f>IFERROR(_xlfn.XLOOKUP([1]!Registre[[#This Row],[ID_Antenne]],[1]Log_Réseaux!B:B,[1]Log_Réseaux!D:D),"NA")</f>
        <v>25</v>
      </c>
    </row>
    <row r="477" spans="1:8" x14ac:dyDescent="0.25">
      <c r="A477" s="6" t="s">
        <v>1271</v>
      </c>
      <c r="B477" s="6" t="s">
        <v>9</v>
      </c>
      <c r="C477" s="6">
        <v>-0.77432100000000004</v>
      </c>
      <c r="D477" s="6">
        <v>18.628658999999999</v>
      </c>
      <c r="E477" s="6" t="s">
        <v>790</v>
      </c>
      <c r="F477" s="6" t="s">
        <v>797</v>
      </c>
      <c r="G477" s="7">
        <f>IFERROR(_xlfn.XLOOKUP([1]!Registre[[#This Row],[ID_Antenne]],[1]Log_Réseaux!B:B,[1]Log_Réseaux!C:C),"NA")</f>
        <v>2</v>
      </c>
      <c r="H477" s="7">
        <f>IFERROR(_xlfn.XLOOKUP([1]!Registre[[#This Row],[ID_Antenne]],[1]Log_Réseaux!B:B,[1]Log_Réseaux!D:D),"NA")</f>
        <v>134</v>
      </c>
    </row>
    <row r="478" spans="1:8" x14ac:dyDescent="0.25">
      <c r="A478" s="6" t="s">
        <v>1272</v>
      </c>
      <c r="B478" s="6" t="s">
        <v>30</v>
      </c>
      <c r="C478" s="6">
        <v>-7.3750049999999998</v>
      </c>
      <c r="D478" s="6">
        <v>30.878126000000002</v>
      </c>
      <c r="E478" s="6" t="s">
        <v>796</v>
      </c>
      <c r="F478" s="6" t="s">
        <v>797</v>
      </c>
      <c r="G478" s="7" t="str">
        <f>IFERROR(_xlfn.XLOOKUP([1]!Registre[[#This Row],[ID_Antenne]],[1]Log_Réseaux!B:B,[1]Log_Réseaux!C:C),"NA")</f>
        <v>NA</v>
      </c>
      <c r="H478" s="7" t="str">
        <f>IFERROR(_xlfn.XLOOKUP([1]!Registre[[#This Row],[ID_Antenne]],[1]Log_Réseaux!B:B,[1]Log_Réseaux!D:D),"NA")</f>
        <v>NA</v>
      </c>
    </row>
    <row r="479" spans="1:8" x14ac:dyDescent="0.25">
      <c r="A479" s="6" t="s">
        <v>1273</v>
      </c>
      <c r="B479" s="6" t="s">
        <v>44</v>
      </c>
      <c r="C479" s="6">
        <v>-12.207461</v>
      </c>
      <c r="D479" s="6">
        <v>13.492367</v>
      </c>
      <c r="E479" s="6" t="s">
        <v>800</v>
      </c>
      <c r="F479" s="6" t="s">
        <v>802</v>
      </c>
      <c r="G479" s="7" t="str">
        <f>IFERROR(_xlfn.XLOOKUP([1]!Registre[[#This Row],[ID_Antenne]],[1]Log_Réseaux!B:B,[1]Log_Réseaux!C:C),"NA")</f>
        <v>NA</v>
      </c>
      <c r="H479" s="7" t="str">
        <f>IFERROR(_xlfn.XLOOKUP([1]!Registre[[#This Row],[ID_Antenne]],[1]Log_Réseaux!B:B,[1]Log_Réseaux!D:D),"NA")</f>
        <v>NA</v>
      </c>
    </row>
    <row r="480" spans="1:8" x14ac:dyDescent="0.25">
      <c r="A480" s="6" t="s">
        <v>1274</v>
      </c>
      <c r="B480" s="6" t="s">
        <v>18</v>
      </c>
      <c r="C480" s="6">
        <v>-7.1785899999999998</v>
      </c>
      <c r="D480" s="6">
        <v>24.4404</v>
      </c>
      <c r="E480" s="6" t="s">
        <v>790</v>
      </c>
      <c r="F480" s="6" t="s">
        <v>793</v>
      </c>
      <c r="G480" s="7">
        <f>IFERROR(_xlfn.XLOOKUP([1]!Registre[[#This Row],[ID_Antenne]],[1]Log_Réseaux!B:B,[1]Log_Réseaux!C:C),"NA")</f>
        <v>3</v>
      </c>
      <c r="H480" s="7">
        <f>IFERROR(_xlfn.XLOOKUP([1]!Registre[[#This Row],[ID_Antenne]],[1]Log_Réseaux!B:B,[1]Log_Réseaux!D:D),"NA")</f>
        <v>114</v>
      </c>
    </row>
    <row r="481" spans="1:8" x14ac:dyDescent="0.25">
      <c r="A481" s="6" t="s">
        <v>1275</v>
      </c>
      <c r="B481" s="6" t="s">
        <v>156</v>
      </c>
      <c r="C481" s="6">
        <v>-4.2184999999999997</v>
      </c>
      <c r="D481" s="6">
        <v>23.077093999999999</v>
      </c>
      <c r="E481" s="6" t="s">
        <v>790</v>
      </c>
      <c r="F481" s="6" t="s">
        <v>802</v>
      </c>
      <c r="G481" s="7">
        <f>IFERROR(_xlfn.XLOOKUP([1]!Registre[[#This Row],[ID_Antenne]],[1]Log_Réseaux!B:B,[1]Log_Réseaux!C:C),"NA")</f>
        <v>1</v>
      </c>
      <c r="H481" s="7">
        <f>IFERROR(_xlfn.XLOOKUP([1]!Registre[[#This Row],[ID_Antenne]],[1]Log_Réseaux!B:B,[1]Log_Réseaux!D:D),"NA")</f>
        <v>38</v>
      </c>
    </row>
    <row r="482" spans="1:8" x14ac:dyDescent="0.25">
      <c r="A482" s="6" t="s">
        <v>1276</v>
      </c>
      <c r="B482" s="6" t="s">
        <v>156</v>
      </c>
      <c r="C482" s="6">
        <v>-10.572326</v>
      </c>
      <c r="D482" s="6">
        <v>25.276349</v>
      </c>
      <c r="E482" s="6" t="s">
        <v>800</v>
      </c>
      <c r="F482" s="6" t="s">
        <v>791</v>
      </c>
      <c r="G482" s="7" t="str">
        <f>IFERROR(_xlfn.XLOOKUP([1]!Registre[[#This Row],[ID_Antenne]],[1]Log_Réseaux!B:B,[1]Log_Réseaux!C:C),"NA")</f>
        <v>NA</v>
      </c>
      <c r="H482" s="7" t="str">
        <f>IFERROR(_xlfn.XLOOKUP([1]!Registre[[#This Row],[ID_Antenne]],[1]Log_Réseaux!B:B,[1]Log_Réseaux!D:D),"NA")</f>
        <v>NA</v>
      </c>
    </row>
    <row r="483" spans="1:8" x14ac:dyDescent="0.25">
      <c r="A483" s="6" t="s">
        <v>1277</v>
      </c>
      <c r="B483" s="6" t="s">
        <v>97</v>
      </c>
      <c r="C483" s="6">
        <v>-0.57104900000000003</v>
      </c>
      <c r="D483" s="6">
        <v>15.317663</v>
      </c>
      <c r="E483" s="6" t="s">
        <v>796</v>
      </c>
      <c r="F483" s="6" t="s">
        <v>793</v>
      </c>
      <c r="G483" s="7">
        <f>IFERROR(_xlfn.XLOOKUP([1]!Registre[[#This Row],[ID_Antenne]],[1]Log_Réseaux!B:B,[1]Log_Réseaux!C:C),"NA")</f>
        <v>1</v>
      </c>
      <c r="H483" s="7">
        <f>IFERROR(_xlfn.XLOOKUP([1]!Registre[[#This Row],[ID_Antenne]],[1]Log_Réseaux!B:B,[1]Log_Réseaux!D:D),"NA")</f>
        <v>77</v>
      </c>
    </row>
    <row r="484" spans="1:8" x14ac:dyDescent="0.25">
      <c r="A484" s="6" t="s">
        <v>1278</v>
      </c>
      <c r="B484" s="6" t="s">
        <v>30</v>
      </c>
      <c r="C484" s="6">
        <v>-12.364127999999999</v>
      </c>
      <c r="D484" s="6">
        <v>19.576150999999999</v>
      </c>
      <c r="E484" s="6" t="s">
        <v>800</v>
      </c>
      <c r="F484" s="6" t="s">
        <v>793</v>
      </c>
      <c r="G484" s="7">
        <f>IFERROR(_xlfn.XLOOKUP([1]!Registre[[#This Row],[ID_Antenne]],[1]Log_Réseaux!B:B,[1]Log_Réseaux!C:C),"NA")</f>
        <v>1</v>
      </c>
      <c r="H484" s="7">
        <f>IFERROR(_xlfn.XLOOKUP([1]!Registre[[#This Row],[ID_Antenne]],[1]Log_Réseaux!B:B,[1]Log_Réseaux!D:D),"NA")</f>
        <v>88</v>
      </c>
    </row>
    <row r="485" spans="1:8" x14ac:dyDescent="0.25">
      <c r="A485" s="6" t="s">
        <v>1279</v>
      </c>
      <c r="B485" s="6" t="s">
        <v>32</v>
      </c>
      <c r="C485" s="6">
        <v>-11.866133</v>
      </c>
      <c r="D485" s="6">
        <v>27.068932</v>
      </c>
      <c r="E485" s="6" t="s">
        <v>800</v>
      </c>
      <c r="F485" s="6" t="s">
        <v>797</v>
      </c>
      <c r="G485" s="7">
        <f>IFERROR(_xlfn.XLOOKUP([1]!Registre[[#This Row],[ID_Antenne]],[1]Log_Réseaux!B:B,[1]Log_Réseaux!C:C),"NA")</f>
        <v>2</v>
      </c>
      <c r="H485" s="7">
        <f>IFERROR(_xlfn.XLOOKUP([1]!Registre[[#This Row],[ID_Antenne]],[1]Log_Réseaux!B:B,[1]Log_Réseaux!D:D),"NA")</f>
        <v>142</v>
      </c>
    </row>
    <row r="486" spans="1:8" x14ac:dyDescent="0.25">
      <c r="A486" s="6" t="s">
        <v>1280</v>
      </c>
      <c r="B486" s="6" t="s">
        <v>15</v>
      </c>
      <c r="C486" s="6">
        <v>-0.469945</v>
      </c>
      <c r="D486" s="6">
        <v>21.038527999999999</v>
      </c>
      <c r="E486" s="6" t="s">
        <v>800</v>
      </c>
      <c r="F486" s="6" t="s">
        <v>802</v>
      </c>
      <c r="G486" s="7">
        <f>IFERROR(_xlfn.XLOOKUP([1]!Registre[[#This Row],[ID_Antenne]],[1]Log_Réseaux!B:B,[1]Log_Réseaux!C:C),"NA")</f>
        <v>1</v>
      </c>
      <c r="H486" s="7">
        <f>IFERROR(_xlfn.XLOOKUP([1]!Registre[[#This Row],[ID_Antenne]],[1]Log_Réseaux!B:B,[1]Log_Réseaux!D:D),"NA")</f>
        <v>36</v>
      </c>
    </row>
    <row r="487" spans="1:8" x14ac:dyDescent="0.25">
      <c r="A487" s="6" t="s">
        <v>1281</v>
      </c>
      <c r="B487" s="6" t="s">
        <v>18</v>
      </c>
      <c r="C487" s="6">
        <v>-5.8145569999999998</v>
      </c>
      <c r="D487" s="6">
        <v>21.942052</v>
      </c>
      <c r="E487" s="6" t="s">
        <v>796</v>
      </c>
      <c r="F487" s="6" t="s">
        <v>797</v>
      </c>
      <c r="G487" s="7">
        <f>IFERROR(_xlfn.XLOOKUP([1]!Registre[[#This Row],[ID_Antenne]],[1]Log_Réseaux!B:B,[1]Log_Réseaux!C:C),"NA")</f>
        <v>1</v>
      </c>
      <c r="H487" s="7">
        <f>IFERROR(_xlfn.XLOOKUP([1]!Registre[[#This Row],[ID_Antenne]],[1]Log_Réseaux!B:B,[1]Log_Réseaux!D:D),"NA")</f>
        <v>87</v>
      </c>
    </row>
    <row r="488" spans="1:8" x14ac:dyDescent="0.25">
      <c r="A488" s="6" t="s">
        <v>1282</v>
      </c>
      <c r="B488" s="6" t="s">
        <v>15</v>
      </c>
      <c r="C488" s="6">
        <v>-11.542737000000001</v>
      </c>
      <c r="D488" s="6">
        <v>30.175912</v>
      </c>
      <c r="E488" s="6" t="s">
        <v>790</v>
      </c>
      <c r="F488" s="6" t="s">
        <v>793</v>
      </c>
      <c r="G488" s="7" t="str">
        <f>IFERROR(_xlfn.XLOOKUP([1]!Registre[[#This Row],[ID_Antenne]],[1]Log_Réseaux!B:B,[1]Log_Réseaux!C:C),"NA")</f>
        <v>NA</v>
      </c>
      <c r="H488" s="7" t="str">
        <f>IFERROR(_xlfn.XLOOKUP([1]!Registre[[#This Row],[ID_Antenne]],[1]Log_Réseaux!B:B,[1]Log_Réseaux!D:D),"NA")</f>
        <v>NA</v>
      </c>
    </row>
    <row r="489" spans="1:8" x14ac:dyDescent="0.25">
      <c r="A489" s="6" t="s">
        <v>1283</v>
      </c>
      <c r="B489" s="6" t="s">
        <v>18</v>
      </c>
      <c r="C489" s="6">
        <v>3.42055</v>
      </c>
      <c r="D489" s="6">
        <v>15.370965999999999</v>
      </c>
      <c r="E489" s="6" t="s">
        <v>790</v>
      </c>
      <c r="F489" s="6" t="s">
        <v>793</v>
      </c>
      <c r="G489" s="7" t="str">
        <f>IFERROR(_xlfn.XLOOKUP([1]!Registre[[#This Row],[ID_Antenne]],[1]Log_Réseaux!B:B,[1]Log_Réseaux!C:C),"NA")</f>
        <v>NA</v>
      </c>
      <c r="H489" s="7" t="str">
        <f>IFERROR(_xlfn.XLOOKUP([1]!Registre[[#This Row],[ID_Antenne]],[1]Log_Réseaux!B:B,[1]Log_Réseaux!D:D),"NA")</f>
        <v>NA</v>
      </c>
    </row>
    <row r="490" spans="1:8" x14ac:dyDescent="0.25">
      <c r="A490" s="6" t="s">
        <v>1284</v>
      </c>
      <c r="B490" s="6" t="s">
        <v>15</v>
      </c>
      <c r="C490" s="6">
        <v>-2.290705</v>
      </c>
      <c r="D490" s="6">
        <v>19.150395</v>
      </c>
      <c r="E490" s="6" t="s">
        <v>796</v>
      </c>
      <c r="F490" s="6" t="s">
        <v>802</v>
      </c>
      <c r="G490" s="7" t="str">
        <f>IFERROR(_xlfn.XLOOKUP([1]!Registre[[#This Row],[ID_Antenne]],[1]Log_Réseaux!B:B,[1]Log_Réseaux!C:C),"NA")</f>
        <v>NA</v>
      </c>
      <c r="H490" s="7" t="str">
        <f>IFERROR(_xlfn.XLOOKUP([1]!Registre[[#This Row],[ID_Antenne]],[1]Log_Réseaux!B:B,[1]Log_Réseaux!D:D),"NA")</f>
        <v>NA</v>
      </c>
    </row>
    <row r="491" spans="1:8" x14ac:dyDescent="0.25">
      <c r="A491" s="6" t="s">
        <v>1285</v>
      </c>
      <c r="B491" s="6" t="s">
        <v>42</v>
      </c>
      <c r="C491" s="6">
        <v>-7.6757720000000003</v>
      </c>
      <c r="D491" s="6">
        <v>30.222971000000001</v>
      </c>
      <c r="E491" s="6" t="s">
        <v>796</v>
      </c>
      <c r="F491" s="6" t="s">
        <v>802</v>
      </c>
      <c r="G491" s="7">
        <f>IFERROR(_xlfn.XLOOKUP([1]!Registre[[#This Row],[ID_Antenne]],[1]Log_Réseaux!B:B,[1]Log_Réseaux!C:C),"NA")</f>
        <v>1</v>
      </c>
      <c r="H491" s="7">
        <f>IFERROR(_xlfn.XLOOKUP([1]!Registre[[#This Row],[ID_Antenne]],[1]Log_Réseaux!B:B,[1]Log_Réseaux!D:D),"NA")</f>
        <v>99</v>
      </c>
    </row>
    <row r="492" spans="1:8" x14ac:dyDescent="0.25">
      <c r="A492" s="6" t="s">
        <v>1286</v>
      </c>
      <c r="B492" s="6" t="s">
        <v>28</v>
      </c>
      <c r="C492" s="6">
        <v>1.727095</v>
      </c>
      <c r="D492" s="6">
        <v>22.099651999999999</v>
      </c>
      <c r="E492" s="6" t="s">
        <v>790</v>
      </c>
      <c r="F492" s="6" t="s">
        <v>797</v>
      </c>
      <c r="G492" s="7">
        <f>IFERROR(_xlfn.XLOOKUP([1]!Registre[[#This Row],[ID_Antenne]],[1]Log_Réseaux!B:B,[1]Log_Réseaux!C:C),"NA")</f>
        <v>1</v>
      </c>
      <c r="H492" s="7">
        <f>IFERROR(_xlfn.XLOOKUP([1]!Registre[[#This Row],[ID_Antenne]],[1]Log_Réseaux!B:B,[1]Log_Réseaux!D:D),"NA")</f>
        <v>63</v>
      </c>
    </row>
    <row r="493" spans="1:8" x14ac:dyDescent="0.25">
      <c r="A493" s="6" t="s">
        <v>1287</v>
      </c>
      <c r="B493" s="6" t="s">
        <v>59</v>
      </c>
      <c r="C493" s="6">
        <v>-5.7200150000000001</v>
      </c>
      <c r="D493" s="6">
        <v>25.022109</v>
      </c>
      <c r="E493" s="6" t="s">
        <v>796</v>
      </c>
      <c r="F493" s="6" t="s">
        <v>791</v>
      </c>
      <c r="G493" s="7">
        <f>IFERROR(_xlfn.XLOOKUP([1]!Registre[[#This Row],[ID_Antenne]],[1]Log_Réseaux!B:B,[1]Log_Réseaux!C:C),"NA")</f>
        <v>3</v>
      </c>
      <c r="H493" s="7">
        <f>IFERROR(_xlfn.XLOOKUP([1]!Registre[[#This Row],[ID_Antenne]],[1]Log_Réseaux!B:B,[1]Log_Réseaux!D:D),"NA")</f>
        <v>236</v>
      </c>
    </row>
    <row r="494" spans="1:8" x14ac:dyDescent="0.25">
      <c r="A494" s="6" t="s">
        <v>1288</v>
      </c>
      <c r="B494" s="6" t="s">
        <v>44</v>
      </c>
      <c r="C494" s="6">
        <v>-11.594525000000001</v>
      </c>
      <c r="D494" s="6">
        <v>29.744895</v>
      </c>
      <c r="E494" s="6" t="s">
        <v>800</v>
      </c>
      <c r="F494" s="6" t="s">
        <v>791</v>
      </c>
      <c r="G494" s="7">
        <f>IFERROR(_xlfn.XLOOKUP([1]!Registre[[#This Row],[ID_Antenne]],[1]Log_Réseaux!B:B,[1]Log_Réseaux!C:C),"NA")</f>
        <v>2</v>
      </c>
      <c r="H494" s="7">
        <f>IFERROR(_xlfn.XLOOKUP([1]!Registre[[#This Row],[ID_Antenne]],[1]Log_Réseaux!B:B,[1]Log_Réseaux!D:D),"NA")</f>
        <v>168</v>
      </c>
    </row>
    <row r="495" spans="1:8" x14ac:dyDescent="0.25">
      <c r="A495" s="6" t="s">
        <v>1289</v>
      </c>
      <c r="B495" s="6" t="s">
        <v>15</v>
      </c>
      <c r="C495" s="6">
        <v>-12.112399999999999</v>
      </c>
      <c r="D495" s="6">
        <v>15.872226</v>
      </c>
      <c r="E495" s="6" t="s">
        <v>790</v>
      </c>
      <c r="F495" s="6" t="s">
        <v>793</v>
      </c>
      <c r="G495" s="7">
        <f>IFERROR(_xlfn.XLOOKUP([1]!Registre[[#This Row],[ID_Antenne]],[1]Log_Réseaux!B:B,[1]Log_Réseaux!C:C),"NA")</f>
        <v>4</v>
      </c>
      <c r="H495" s="7">
        <f>IFERROR(_xlfn.XLOOKUP([1]!Registre[[#This Row],[ID_Antenne]],[1]Log_Réseaux!B:B,[1]Log_Réseaux!D:D),"NA")</f>
        <v>237</v>
      </c>
    </row>
    <row r="496" spans="1:8" x14ac:dyDescent="0.25">
      <c r="A496" s="6" t="s">
        <v>1290</v>
      </c>
      <c r="B496" s="6" t="s">
        <v>62</v>
      </c>
      <c r="C496" s="6">
        <v>-12.431227</v>
      </c>
      <c r="D496" s="6">
        <v>18.414290999999999</v>
      </c>
      <c r="E496" s="6" t="s">
        <v>796</v>
      </c>
      <c r="F496" s="6" t="s">
        <v>797</v>
      </c>
      <c r="G496" s="7">
        <f>IFERROR(_xlfn.XLOOKUP([1]!Registre[[#This Row],[ID_Antenne]],[1]Log_Réseaux!B:B,[1]Log_Réseaux!C:C),"NA")</f>
        <v>1</v>
      </c>
      <c r="H496" s="7">
        <f>IFERROR(_xlfn.XLOOKUP([1]!Registre[[#This Row],[ID_Antenne]],[1]Log_Réseaux!B:B,[1]Log_Réseaux!D:D),"NA")</f>
        <v>91</v>
      </c>
    </row>
    <row r="497" spans="1:8" x14ac:dyDescent="0.25">
      <c r="A497" s="6" t="s">
        <v>1291</v>
      </c>
      <c r="B497" s="6" t="s">
        <v>69</v>
      </c>
      <c r="C497" s="6">
        <v>-4.652463</v>
      </c>
      <c r="D497" s="6">
        <v>18.779983999999999</v>
      </c>
      <c r="E497" s="6" t="s">
        <v>800</v>
      </c>
      <c r="F497" s="6" t="s">
        <v>793</v>
      </c>
      <c r="G497" s="7" t="str">
        <f>IFERROR(_xlfn.XLOOKUP([1]!Registre[[#This Row],[ID_Antenne]],[1]Log_Réseaux!B:B,[1]Log_Réseaux!C:C),"NA")</f>
        <v>NA</v>
      </c>
      <c r="H497" s="7" t="str">
        <f>IFERROR(_xlfn.XLOOKUP([1]!Registre[[#This Row],[ID_Antenne]],[1]Log_Réseaux!B:B,[1]Log_Réseaux!D:D),"NA")</f>
        <v>NA</v>
      </c>
    </row>
    <row r="498" spans="1:8" x14ac:dyDescent="0.25">
      <c r="A498" s="6" t="s">
        <v>1292</v>
      </c>
      <c r="B498" s="6" t="s">
        <v>34</v>
      </c>
      <c r="C498" s="6">
        <v>-2.2681789999999999</v>
      </c>
      <c r="D498" s="6">
        <v>25.699068</v>
      </c>
      <c r="E498" s="6" t="s">
        <v>800</v>
      </c>
      <c r="F498" s="6" t="s">
        <v>791</v>
      </c>
      <c r="G498" s="7">
        <f>IFERROR(_xlfn.XLOOKUP([1]!Registre[[#This Row],[ID_Antenne]],[1]Log_Réseaux!B:B,[1]Log_Réseaux!C:C),"NA")</f>
        <v>2</v>
      </c>
      <c r="H498" s="7">
        <f>IFERROR(_xlfn.XLOOKUP([1]!Registre[[#This Row],[ID_Antenne]],[1]Log_Réseaux!B:B,[1]Log_Réseaux!D:D),"NA")</f>
        <v>219</v>
      </c>
    </row>
    <row r="499" spans="1:8" x14ac:dyDescent="0.25">
      <c r="A499" s="6" t="s">
        <v>1293</v>
      </c>
      <c r="B499" s="6" t="s">
        <v>105</v>
      </c>
      <c r="C499" s="6">
        <v>-7.5969509999999998</v>
      </c>
      <c r="D499" s="6">
        <v>22.153986</v>
      </c>
      <c r="E499" s="6" t="s">
        <v>800</v>
      </c>
      <c r="F499" s="6" t="s">
        <v>802</v>
      </c>
      <c r="G499" s="7">
        <f>IFERROR(_xlfn.XLOOKUP([1]!Registre[[#This Row],[ID_Antenne]],[1]Log_Réseaux!B:B,[1]Log_Réseaux!C:C),"NA")</f>
        <v>2</v>
      </c>
      <c r="H499" s="7">
        <f>IFERROR(_xlfn.XLOOKUP([1]!Registre[[#This Row],[ID_Antenne]],[1]Log_Réseaux!B:B,[1]Log_Réseaux!D:D),"NA")</f>
        <v>151</v>
      </c>
    </row>
    <row r="500" spans="1:8" x14ac:dyDescent="0.25">
      <c r="A500" s="6" t="s">
        <v>1294</v>
      </c>
      <c r="B500" s="6" t="s">
        <v>69</v>
      </c>
      <c r="C500" s="6">
        <v>0.639208</v>
      </c>
      <c r="D500" s="6">
        <v>20.701739</v>
      </c>
      <c r="E500" s="6" t="s">
        <v>790</v>
      </c>
      <c r="F500" s="6" t="s">
        <v>797</v>
      </c>
      <c r="G500" s="7">
        <f>IFERROR(_xlfn.XLOOKUP([1]!Registre[[#This Row],[ID_Antenne]],[1]Log_Réseaux!B:B,[1]Log_Réseaux!C:C),"NA")</f>
        <v>1</v>
      </c>
      <c r="H500" s="7">
        <f>IFERROR(_xlfn.XLOOKUP([1]!Registre[[#This Row],[ID_Antenne]],[1]Log_Réseaux!B:B,[1]Log_Réseaux!D:D),"NA")</f>
        <v>109</v>
      </c>
    </row>
    <row r="501" spans="1:8" x14ac:dyDescent="0.25">
      <c r="A501" s="6" t="s">
        <v>1295</v>
      </c>
      <c r="B501" s="6" t="s">
        <v>57</v>
      </c>
      <c r="C501" s="6">
        <v>2.7298239999999998</v>
      </c>
      <c r="D501" s="6">
        <v>12.958664000000001</v>
      </c>
      <c r="E501" s="6" t="s">
        <v>800</v>
      </c>
      <c r="F501" s="6" t="s">
        <v>791</v>
      </c>
      <c r="G501" s="7" t="str">
        <f>IFERROR(_xlfn.XLOOKUP([1]!Registre[[#This Row],[ID_Antenne]],[1]Log_Réseaux!B:B,[1]Log_Réseaux!C:C),"NA")</f>
        <v>NA</v>
      </c>
      <c r="H501" s="7" t="str">
        <f>IFERROR(_xlfn.XLOOKUP([1]!Registre[[#This Row],[ID_Antenne]],[1]Log_Réseaux!B:B,[1]Log_Réseaux!D:D),"NA")</f>
        <v>NA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A6BE-19EE-4E6D-B9EE-DE98CD1DF7CE}">
  <dimension ref="A3:I33"/>
  <sheetViews>
    <sheetView topLeftCell="A4" zoomScale="80" zoomScaleNormal="80" workbookViewId="0">
      <selection activeCell="H19" sqref="H19"/>
    </sheetView>
  </sheetViews>
  <sheetFormatPr baseColWidth="10" defaultRowHeight="13.2" x14ac:dyDescent="0.25"/>
  <cols>
    <col min="1" max="1" width="21.21875" bestFit="1" customWidth="1"/>
    <col min="2" max="2" width="30.5546875" bestFit="1" customWidth="1"/>
    <col min="3" max="3" width="3.77734375" bestFit="1" customWidth="1"/>
    <col min="4" max="4" width="7.77734375" bestFit="1" customWidth="1"/>
    <col min="5" max="5" width="28.77734375" bestFit="1" customWidth="1"/>
    <col min="6" max="7" width="6.6640625" bestFit="1" customWidth="1"/>
    <col min="8" max="8" width="35.109375" bestFit="1" customWidth="1"/>
    <col min="9" max="9" width="33.21875" bestFit="1" customWidth="1"/>
    <col min="10" max="10" width="31.109375" bestFit="1" customWidth="1"/>
    <col min="11" max="11" width="31.44140625" bestFit="1" customWidth="1"/>
    <col min="12" max="12" width="31.109375" bestFit="1" customWidth="1"/>
    <col min="13" max="13" width="31.44140625" bestFit="1" customWidth="1"/>
    <col min="14" max="14" width="31.109375" bestFit="1" customWidth="1"/>
    <col min="15" max="15" width="31.44140625" bestFit="1" customWidth="1"/>
    <col min="16" max="16" width="31.109375" bestFit="1" customWidth="1"/>
    <col min="17" max="17" width="31.44140625" bestFit="1" customWidth="1"/>
    <col min="18" max="18" width="31.109375" bestFit="1" customWidth="1"/>
    <col min="19" max="19" width="31.44140625" bestFit="1" customWidth="1"/>
    <col min="20" max="20" width="31.109375" bestFit="1" customWidth="1"/>
    <col min="21" max="21" width="31.44140625" bestFit="1" customWidth="1"/>
    <col min="22" max="22" width="31.109375" bestFit="1" customWidth="1"/>
    <col min="23" max="23" width="31.44140625" bestFit="1" customWidth="1"/>
    <col min="24" max="24" width="31.109375" bestFit="1" customWidth="1"/>
    <col min="25" max="25" width="31.44140625" bestFit="1" customWidth="1"/>
    <col min="26" max="26" width="31.109375" bestFit="1" customWidth="1"/>
    <col min="27" max="27" width="31.44140625" bestFit="1" customWidth="1"/>
    <col min="28" max="28" width="31.109375" bestFit="1" customWidth="1"/>
    <col min="29" max="29" width="31.44140625" bestFit="1" customWidth="1"/>
    <col min="30" max="30" width="31.109375" bestFit="1" customWidth="1"/>
    <col min="31" max="31" width="31.44140625" bestFit="1" customWidth="1"/>
    <col min="32" max="32" width="31.109375" bestFit="1" customWidth="1"/>
    <col min="33" max="33" width="31.44140625" bestFit="1" customWidth="1"/>
    <col min="34" max="34" width="31.109375" bestFit="1" customWidth="1"/>
    <col min="35" max="35" width="31.44140625" bestFit="1" customWidth="1"/>
    <col min="36" max="36" width="31.109375" bestFit="1" customWidth="1"/>
    <col min="37" max="37" width="31.44140625" bestFit="1" customWidth="1"/>
    <col min="38" max="38" width="31.109375" bestFit="1" customWidth="1"/>
    <col min="39" max="39" width="31.44140625" bestFit="1" customWidth="1"/>
    <col min="40" max="40" width="31.109375" bestFit="1" customWidth="1"/>
    <col min="41" max="41" width="31.44140625" bestFit="1" customWidth="1"/>
    <col min="42" max="42" width="31.109375" bestFit="1" customWidth="1"/>
    <col min="43" max="43" width="31.44140625" bestFit="1" customWidth="1"/>
    <col min="44" max="44" width="31.109375" bestFit="1" customWidth="1"/>
    <col min="45" max="45" width="31.44140625" bestFit="1" customWidth="1"/>
    <col min="46" max="46" width="31.109375" bestFit="1" customWidth="1"/>
    <col min="47" max="47" width="31.44140625" bestFit="1" customWidth="1"/>
    <col min="48" max="48" width="31.109375" bestFit="1" customWidth="1"/>
    <col min="49" max="49" width="31.44140625" bestFit="1" customWidth="1"/>
    <col min="50" max="50" width="31.109375" bestFit="1" customWidth="1"/>
    <col min="51" max="51" width="31.44140625" bestFit="1" customWidth="1"/>
    <col min="52" max="52" width="31.109375" bestFit="1" customWidth="1"/>
    <col min="53" max="53" width="31.44140625" bestFit="1" customWidth="1"/>
    <col min="54" max="54" width="31.109375" bestFit="1" customWidth="1"/>
    <col min="55" max="55" width="31.44140625" bestFit="1" customWidth="1"/>
    <col min="56" max="56" width="36" bestFit="1" customWidth="1"/>
    <col min="57" max="57" width="36.21875" bestFit="1" customWidth="1"/>
  </cols>
  <sheetData>
    <row r="3" spans="1:9" ht="16.8" customHeight="1" x14ac:dyDescent="0.25">
      <c r="A3" s="13"/>
      <c r="B3" s="14" t="s">
        <v>1307</v>
      </c>
      <c r="C3" s="13"/>
      <c r="D3" s="13"/>
      <c r="E3" s="13"/>
      <c r="F3" s="13"/>
      <c r="G3" s="13"/>
      <c r="H3" s="13"/>
      <c r="I3" s="13"/>
    </row>
    <row r="4" spans="1:9" ht="16.8" customHeight="1" x14ac:dyDescent="0.25">
      <c r="A4" s="13"/>
      <c r="B4" s="13" t="s">
        <v>1310</v>
      </c>
      <c r="C4" s="15"/>
      <c r="D4" s="16"/>
      <c r="E4" s="15" t="s">
        <v>1308</v>
      </c>
      <c r="F4" s="17"/>
      <c r="G4" s="16"/>
      <c r="H4" s="13" t="s">
        <v>1311</v>
      </c>
      <c r="I4" s="13" t="s">
        <v>1309</v>
      </c>
    </row>
    <row r="5" spans="1:9" ht="16.8" customHeight="1" x14ac:dyDescent="0.25">
      <c r="A5" s="14" t="s">
        <v>1304</v>
      </c>
      <c r="B5" s="13" t="s">
        <v>800</v>
      </c>
      <c r="C5" s="13" t="s">
        <v>790</v>
      </c>
      <c r="D5" s="13" t="s">
        <v>796</v>
      </c>
      <c r="E5" s="13" t="s">
        <v>800</v>
      </c>
      <c r="F5" s="13" t="s">
        <v>790</v>
      </c>
      <c r="G5" s="13" t="s">
        <v>796</v>
      </c>
      <c r="H5" s="13"/>
      <c r="I5" s="13"/>
    </row>
    <row r="6" spans="1:9" x14ac:dyDescent="0.25">
      <c r="A6" s="13" t="s">
        <v>22</v>
      </c>
      <c r="B6" s="18">
        <v>2.2000000000000002</v>
      </c>
      <c r="C6" s="18">
        <v>4.25</v>
      </c>
      <c r="D6" s="18">
        <v>2.6</v>
      </c>
      <c r="E6" s="13">
        <v>610</v>
      </c>
      <c r="F6" s="13">
        <v>1262</v>
      </c>
      <c r="G6" s="13">
        <v>787</v>
      </c>
      <c r="H6" s="18">
        <v>2.9285714285714284</v>
      </c>
      <c r="I6" s="13">
        <v>2659</v>
      </c>
    </row>
    <row r="7" spans="1:9" x14ac:dyDescent="0.25">
      <c r="A7" s="13" t="s">
        <v>59</v>
      </c>
      <c r="B7" s="18">
        <v>2.8</v>
      </c>
      <c r="C7" s="18">
        <v>2.6666666666666665</v>
      </c>
      <c r="D7" s="18">
        <v>2.8</v>
      </c>
      <c r="E7" s="13">
        <v>849</v>
      </c>
      <c r="F7" s="13">
        <v>399</v>
      </c>
      <c r="G7" s="13">
        <v>997</v>
      </c>
      <c r="H7" s="18">
        <v>2.7692307692307692</v>
      </c>
      <c r="I7" s="13">
        <v>2245</v>
      </c>
    </row>
    <row r="8" spans="1:9" x14ac:dyDescent="0.25">
      <c r="A8" s="13" t="s">
        <v>44</v>
      </c>
      <c r="B8" s="18">
        <v>3</v>
      </c>
      <c r="C8" s="18">
        <v>2.5</v>
      </c>
      <c r="D8" s="18">
        <v>1.6666666666666667</v>
      </c>
      <c r="E8" s="13">
        <v>1121</v>
      </c>
      <c r="F8" s="13">
        <v>696</v>
      </c>
      <c r="G8" s="13">
        <v>849</v>
      </c>
      <c r="H8" s="18">
        <v>2.3333333333333335</v>
      </c>
      <c r="I8" s="13">
        <v>2666</v>
      </c>
    </row>
    <row r="9" spans="1:9" x14ac:dyDescent="0.25">
      <c r="A9" s="13" t="s">
        <v>18</v>
      </c>
      <c r="B9" s="18">
        <v>1.75</v>
      </c>
      <c r="C9" s="18">
        <v>2.875</v>
      </c>
      <c r="D9" s="18">
        <v>1.5</v>
      </c>
      <c r="E9" s="13">
        <v>422</v>
      </c>
      <c r="F9" s="13">
        <v>1402</v>
      </c>
      <c r="G9" s="13">
        <v>240</v>
      </c>
      <c r="H9" s="18">
        <v>2.3571428571428572</v>
      </c>
      <c r="I9" s="13">
        <v>2064</v>
      </c>
    </row>
    <row r="10" spans="1:9" x14ac:dyDescent="0.25">
      <c r="A10" s="13" t="s">
        <v>40</v>
      </c>
      <c r="B10" s="18">
        <v>2</v>
      </c>
      <c r="C10" s="18">
        <v>2</v>
      </c>
      <c r="D10" s="18">
        <v>2.625</v>
      </c>
      <c r="E10" s="13">
        <v>330</v>
      </c>
      <c r="F10" s="13">
        <v>720</v>
      </c>
      <c r="G10" s="13">
        <v>1335</v>
      </c>
      <c r="H10" s="18">
        <v>2.2941176470588234</v>
      </c>
      <c r="I10" s="13">
        <v>2385</v>
      </c>
    </row>
    <row r="11" spans="1:9" x14ac:dyDescent="0.25">
      <c r="A11" s="13" t="s">
        <v>30</v>
      </c>
      <c r="B11" s="18">
        <v>3</v>
      </c>
      <c r="C11" s="18">
        <v>3</v>
      </c>
      <c r="D11" s="18">
        <v>2.75</v>
      </c>
      <c r="E11" s="13">
        <v>910</v>
      </c>
      <c r="F11" s="13">
        <v>627</v>
      </c>
      <c r="G11" s="13">
        <v>617</v>
      </c>
      <c r="H11" s="18">
        <v>2.9090909090909092</v>
      </c>
      <c r="I11" s="13">
        <v>2154</v>
      </c>
    </row>
    <row r="12" spans="1:9" x14ac:dyDescent="0.25">
      <c r="A12" s="13" t="s">
        <v>42</v>
      </c>
      <c r="B12" s="18">
        <v>1.6666666666666667</v>
      </c>
      <c r="C12" s="18">
        <v>3.3333333333333335</v>
      </c>
      <c r="D12" s="18">
        <v>3</v>
      </c>
      <c r="E12" s="13">
        <v>290</v>
      </c>
      <c r="F12" s="13">
        <v>551</v>
      </c>
      <c r="G12" s="13">
        <v>1024</v>
      </c>
      <c r="H12" s="18">
        <v>2.7272727272727271</v>
      </c>
      <c r="I12" s="13">
        <v>1865</v>
      </c>
    </row>
    <row r="13" spans="1:9" x14ac:dyDescent="0.25">
      <c r="A13" s="13" t="s">
        <v>46</v>
      </c>
      <c r="B13" s="18">
        <v>4</v>
      </c>
      <c r="C13" s="18">
        <v>1.5</v>
      </c>
      <c r="D13" s="18">
        <v>4.5</v>
      </c>
      <c r="E13" s="13">
        <v>911</v>
      </c>
      <c r="F13" s="13">
        <v>488</v>
      </c>
      <c r="G13" s="13">
        <v>421</v>
      </c>
      <c r="H13" s="18">
        <v>2.8333333333333335</v>
      </c>
      <c r="I13" s="13">
        <v>1820</v>
      </c>
    </row>
    <row r="14" spans="1:9" x14ac:dyDescent="0.25">
      <c r="A14" s="13" t="s">
        <v>69</v>
      </c>
      <c r="B14" s="18">
        <v>1.5</v>
      </c>
      <c r="C14" s="18">
        <v>2</v>
      </c>
      <c r="D14" s="18">
        <v>1.8</v>
      </c>
      <c r="E14" s="13">
        <v>152</v>
      </c>
      <c r="F14" s="13">
        <v>214</v>
      </c>
      <c r="G14" s="13">
        <v>564</v>
      </c>
      <c r="H14" s="18">
        <v>1.7777777777777777</v>
      </c>
      <c r="I14" s="13">
        <v>930</v>
      </c>
    </row>
    <row r="15" spans="1:9" x14ac:dyDescent="0.25">
      <c r="A15" s="13" t="s">
        <v>97</v>
      </c>
      <c r="B15" s="18">
        <v>1.8333333333333333</v>
      </c>
      <c r="C15" s="18">
        <v>1.5</v>
      </c>
      <c r="D15" s="18">
        <v>2.6666666666666665</v>
      </c>
      <c r="E15" s="13">
        <v>757</v>
      </c>
      <c r="F15" s="13">
        <v>174</v>
      </c>
      <c r="G15" s="13">
        <v>918</v>
      </c>
      <c r="H15" s="18">
        <v>2.1428571428571428</v>
      </c>
      <c r="I15" s="13">
        <v>1849</v>
      </c>
    </row>
    <row r="16" spans="1:9" x14ac:dyDescent="0.25">
      <c r="A16" s="13" t="s">
        <v>15</v>
      </c>
      <c r="B16" s="18">
        <v>2</v>
      </c>
      <c r="C16" s="18">
        <v>3.5</v>
      </c>
      <c r="D16" s="18">
        <v>3.2</v>
      </c>
      <c r="E16" s="13">
        <v>331</v>
      </c>
      <c r="F16" s="13">
        <v>812</v>
      </c>
      <c r="G16" s="13">
        <v>2499</v>
      </c>
      <c r="H16" s="18">
        <v>3.125</v>
      </c>
      <c r="I16" s="13">
        <v>3642</v>
      </c>
    </row>
    <row r="17" spans="1:9" x14ac:dyDescent="0.25">
      <c r="A17" s="13" t="s">
        <v>62</v>
      </c>
      <c r="B17" s="18">
        <v>3</v>
      </c>
      <c r="C17" s="18">
        <v>2.4</v>
      </c>
      <c r="D17" s="18">
        <v>2</v>
      </c>
      <c r="E17" s="13">
        <v>139</v>
      </c>
      <c r="F17" s="13">
        <v>680</v>
      </c>
      <c r="G17" s="13">
        <v>566</v>
      </c>
      <c r="H17" s="18">
        <v>2.2727272727272729</v>
      </c>
      <c r="I17" s="13">
        <v>1385</v>
      </c>
    </row>
    <row r="18" spans="1:9" x14ac:dyDescent="0.25">
      <c r="A18" s="13" t="s">
        <v>9</v>
      </c>
      <c r="B18" s="18">
        <v>2</v>
      </c>
      <c r="C18" s="18">
        <v>2.4285714285714284</v>
      </c>
      <c r="D18" s="18">
        <v>2</v>
      </c>
      <c r="E18" s="13">
        <v>773</v>
      </c>
      <c r="F18" s="13">
        <v>1135</v>
      </c>
      <c r="G18" s="13">
        <v>110</v>
      </c>
      <c r="H18" s="18">
        <v>2.2142857142857144</v>
      </c>
      <c r="I18" s="13">
        <v>2018</v>
      </c>
    </row>
    <row r="19" spans="1:9" x14ac:dyDescent="0.25">
      <c r="A19" s="13" t="s">
        <v>34</v>
      </c>
      <c r="B19" s="18">
        <v>1.8</v>
      </c>
      <c r="C19" s="18">
        <v>1.6666666666666667</v>
      </c>
      <c r="D19" s="18">
        <v>2</v>
      </c>
      <c r="E19" s="13">
        <v>661</v>
      </c>
      <c r="F19" s="13">
        <v>334</v>
      </c>
      <c r="G19" s="13">
        <v>266</v>
      </c>
      <c r="H19" s="18">
        <v>1.8</v>
      </c>
      <c r="I19" s="13">
        <v>1261</v>
      </c>
    </row>
    <row r="20" spans="1:9" x14ac:dyDescent="0.25">
      <c r="A20" s="13" t="s">
        <v>156</v>
      </c>
      <c r="B20" s="18">
        <v>2</v>
      </c>
      <c r="C20" s="18">
        <v>2.8888888888888888</v>
      </c>
      <c r="D20" s="18">
        <v>2</v>
      </c>
      <c r="E20" s="13">
        <v>354</v>
      </c>
      <c r="F20" s="13">
        <v>1556</v>
      </c>
      <c r="G20" s="13">
        <v>264</v>
      </c>
      <c r="H20" s="18">
        <v>2.5333333333333332</v>
      </c>
      <c r="I20" s="13">
        <v>2174</v>
      </c>
    </row>
    <row r="21" spans="1:9" x14ac:dyDescent="0.25">
      <c r="A21" s="13" t="s">
        <v>57</v>
      </c>
      <c r="B21" s="18">
        <v>1</v>
      </c>
      <c r="C21" s="18">
        <v>4.2</v>
      </c>
      <c r="D21" s="18">
        <v>2</v>
      </c>
      <c r="E21" s="13">
        <v>139</v>
      </c>
      <c r="F21" s="13">
        <v>1015</v>
      </c>
      <c r="G21" s="13">
        <v>89</v>
      </c>
      <c r="H21" s="18">
        <v>3.125</v>
      </c>
      <c r="I21" s="13">
        <v>1243</v>
      </c>
    </row>
    <row r="22" spans="1:9" x14ac:dyDescent="0.25">
      <c r="A22" s="13" t="s">
        <v>28</v>
      </c>
      <c r="B22" s="18" t="e">
        <v>#DIV/0!</v>
      </c>
      <c r="C22" s="18">
        <v>3.4444444444444446</v>
      </c>
      <c r="D22" s="18">
        <v>2.5</v>
      </c>
      <c r="E22" s="13">
        <v>0</v>
      </c>
      <c r="F22" s="13">
        <v>1953</v>
      </c>
      <c r="G22" s="13">
        <v>596</v>
      </c>
      <c r="H22" s="18">
        <v>3.1538461538461537</v>
      </c>
      <c r="I22" s="13">
        <v>2549</v>
      </c>
    </row>
    <row r="23" spans="1:9" x14ac:dyDescent="0.25">
      <c r="A23" s="13" t="s">
        <v>12</v>
      </c>
      <c r="B23" s="18">
        <v>5</v>
      </c>
      <c r="C23" s="18">
        <v>1.5</v>
      </c>
      <c r="D23" s="18">
        <v>1.8</v>
      </c>
      <c r="E23" s="13">
        <v>714</v>
      </c>
      <c r="F23" s="13">
        <v>313</v>
      </c>
      <c r="G23" s="13">
        <v>591</v>
      </c>
      <c r="H23" s="18">
        <v>2.4444444444444446</v>
      </c>
      <c r="I23" s="13">
        <v>1618</v>
      </c>
    </row>
    <row r="24" spans="1:9" x14ac:dyDescent="0.25">
      <c r="A24" s="13" t="s">
        <v>32</v>
      </c>
      <c r="B24" s="18">
        <v>2.625</v>
      </c>
      <c r="C24" s="18">
        <v>2.4</v>
      </c>
      <c r="D24" s="18">
        <v>3</v>
      </c>
      <c r="E24" s="13">
        <v>1338</v>
      </c>
      <c r="F24" s="13">
        <v>564</v>
      </c>
      <c r="G24" s="13">
        <v>1720</v>
      </c>
      <c r="H24" s="18">
        <v>2.7391304347826089</v>
      </c>
      <c r="I24" s="13">
        <v>3622</v>
      </c>
    </row>
    <row r="25" spans="1:9" x14ac:dyDescent="0.25">
      <c r="A25" s="13" t="s">
        <v>72</v>
      </c>
      <c r="B25" s="18">
        <v>5.5</v>
      </c>
      <c r="C25" s="18">
        <v>2.8</v>
      </c>
      <c r="D25" s="18">
        <v>2.8333333333333335</v>
      </c>
      <c r="E25" s="13">
        <v>530</v>
      </c>
      <c r="F25" s="13">
        <v>888</v>
      </c>
      <c r="G25" s="13">
        <v>1074</v>
      </c>
      <c r="H25" s="18">
        <v>3.2307692307692308</v>
      </c>
      <c r="I25" s="13">
        <v>2492</v>
      </c>
    </row>
    <row r="26" spans="1:9" x14ac:dyDescent="0.25">
      <c r="A26" s="13" t="s">
        <v>105</v>
      </c>
      <c r="B26" s="18">
        <v>4</v>
      </c>
      <c r="C26" s="18">
        <v>2.25</v>
      </c>
      <c r="D26" s="18">
        <v>1.4</v>
      </c>
      <c r="E26" s="13">
        <v>524</v>
      </c>
      <c r="F26" s="13">
        <v>530</v>
      </c>
      <c r="G26" s="13">
        <v>453</v>
      </c>
      <c r="H26" s="18">
        <v>2.1818181818181817</v>
      </c>
      <c r="I26" s="13">
        <v>1507</v>
      </c>
    </row>
    <row r="27" spans="1:9" x14ac:dyDescent="0.25">
      <c r="A27" s="13" t="s">
        <v>38</v>
      </c>
      <c r="B27" s="18">
        <v>3.3636363636363638</v>
      </c>
      <c r="C27" s="18">
        <v>2</v>
      </c>
      <c r="D27" s="18">
        <v>3</v>
      </c>
      <c r="E27" s="13">
        <v>2470</v>
      </c>
      <c r="F27" s="13">
        <v>205</v>
      </c>
      <c r="G27" s="13">
        <v>960</v>
      </c>
      <c r="H27" s="18">
        <v>3.1176470588235294</v>
      </c>
      <c r="I27" s="13">
        <v>3635</v>
      </c>
    </row>
    <row r="28" spans="1:9" x14ac:dyDescent="0.25">
      <c r="A28" s="13" t="s">
        <v>48</v>
      </c>
      <c r="B28" s="18">
        <v>2.8</v>
      </c>
      <c r="C28" s="18">
        <v>2</v>
      </c>
      <c r="D28" s="18">
        <v>5</v>
      </c>
      <c r="E28" s="13">
        <v>896</v>
      </c>
      <c r="F28" s="13">
        <v>357</v>
      </c>
      <c r="G28" s="13">
        <v>1795</v>
      </c>
      <c r="H28" s="18">
        <v>3.6923076923076925</v>
      </c>
      <c r="I28" s="13">
        <v>3048</v>
      </c>
    </row>
    <row r="29" spans="1:9" x14ac:dyDescent="0.25">
      <c r="A29" s="13" t="s">
        <v>6</v>
      </c>
      <c r="B29" s="18">
        <v>2</v>
      </c>
      <c r="C29" s="18">
        <v>2.6666666666666665</v>
      </c>
      <c r="D29" s="18">
        <v>1.7777777777777777</v>
      </c>
      <c r="E29" s="13">
        <v>533</v>
      </c>
      <c r="F29" s="13">
        <v>1044</v>
      </c>
      <c r="G29" s="13">
        <v>1079</v>
      </c>
      <c r="H29" s="18">
        <v>2.1052631578947367</v>
      </c>
      <c r="I29" s="13">
        <v>2656</v>
      </c>
    </row>
    <row r="30" spans="1:9" x14ac:dyDescent="0.25">
      <c r="A30" s="13" t="s">
        <v>65</v>
      </c>
      <c r="B30" s="18">
        <v>2.5</v>
      </c>
      <c r="C30" s="18">
        <v>2.8</v>
      </c>
      <c r="D30" s="18">
        <v>2.6666666666666665</v>
      </c>
      <c r="E30" s="13">
        <v>724</v>
      </c>
      <c r="F30" s="13">
        <v>1008</v>
      </c>
      <c r="G30" s="13">
        <v>903</v>
      </c>
      <c r="H30" s="18">
        <v>2.6666666666666665</v>
      </c>
      <c r="I30" s="13">
        <v>2635</v>
      </c>
    </row>
    <row r="31" spans="1:9" x14ac:dyDescent="0.25">
      <c r="A31" s="13" t="s">
        <v>24</v>
      </c>
      <c r="B31" s="18">
        <v>1.1666666666666667</v>
      </c>
      <c r="C31" s="18">
        <v>5.5</v>
      </c>
      <c r="D31" s="18">
        <v>1.6666666666666667</v>
      </c>
      <c r="E31" s="13">
        <v>360</v>
      </c>
      <c r="F31" s="13">
        <v>683</v>
      </c>
      <c r="G31" s="13">
        <v>577</v>
      </c>
      <c r="H31" s="18">
        <v>2</v>
      </c>
      <c r="I31" s="13">
        <v>1620</v>
      </c>
    </row>
    <row r="32" spans="1:9" x14ac:dyDescent="0.25">
      <c r="A32" s="13" t="s">
        <v>1305</v>
      </c>
      <c r="B32" s="18">
        <v>1</v>
      </c>
      <c r="C32" s="18"/>
      <c r="D32" s="18" t="e">
        <v>#DIV/0!</v>
      </c>
      <c r="E32" s="13">
        <v>68</v>
      </c>
      <c r="F32" s="13"/>
      <c r="G32" s="13">
        <v>0</v>
      </c>
      <c r="H32" s="18">
        <v>1</v>
      </c>
      <c r="I32" s="13">
        <v>68</v>
      </c>
    </row>
    <row r="33" spans="1:9" x14ac:dyDescent="0.25">
      <c r="A33" s="13" t="s">
        <v>1306</v>
      </c>
      <c r="B33" s="18">
        <v>2.5</v>
      </c>
      <c r="C33" s="18">
        <v>2.7413793103448274</v>
      </c>
      <c r="D33" s="18">
        <v>2.5538461538461537</v>
      </c>
      <c r="E33" s="13">
        <v>16906</v>
      </c>
      <c r="F33" s="13">
        <v>19610</v>
      </c>
      <c r="G33" s="13">
        <v>21294</v>
      </c>
      <c r="H33" s="18">
        <v>2.5994318181818183</v>
      </c>
      <c r="I33" s="13">
        <v>57810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F150-4437-41BC-8349-9403819B5B51}">
  <dimension ref="A1:I752"/>
  <sheetViews>
    <sheetView tabSelected="1" workbookViewId="0">
      <selection activeCell="I2" sqref="I2"/>
    </sheetView>
  </sheetViews>
  <sheetFormatPr baseColWidth="10" defaultRowHeight="13.2" x14ac:dyDescent="0.25"/>
  <cols>
    <col min="1" max="1" width="13.6640625" bestFit="1" customWidth="1"/>
    <col min="2" max="2" width="19.109375" bestFit="1" customWidth="1"/>
    <col min="3" max="3" width="16.6640625" bestFit="1" customWidth="1"/>
    <col min="4" max="4" width="21.5546875" style="1" bestFit="1" customWidth="1"/>
    <col min="5" max="5" width="20.6640625" style="12" bestFit="1" customWidth="1"/>
    <col min="6" max="6" width="31.21875" style="10" bestFit="1" customWidth="1"/>
    <col min="7" max="7" width="25.77734375" bestFit="1" customWidth="1"/>
    <col min="8" max="8" width="11.5546875" style="5" bestFit="1" customWidth="1"/>
    <col min="9" max="9" width="19.33203125" style="20" bestFit="1" customWidth="1"/>
  </cols>
  <sheetData>
    <row r="1" spans="1:9" s="2" customFormat="1" ht="18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11" t="s">
        <v>785</v>
      </c>
      <c r="F1" s="9" t="s">
        <v>786</v>
      </c>
      <c r="G1" s="2" t="s">
        <v>4</v>
      </c>
      <c r="H1" s="4" t="s">
        <v>788</v>
      </c>
      <c r="I1" s="19" t="s">
        <v>1312</v>
      </c>
    </row>
    <row r="2" spans="1:9" x14ac:dyDescent="0.25">
      <c r="A2" s="2" t="s">
        <v>5</v>
      </c>
      <c r="B2" s="2" t="s">
        <v>6</v>
      </c>
      <c r="C2" s="2" t="s">
        <v>7</v>
      </c>
      <c r="D2" s="3">
        <v>98.95</v>
      </c>
      <c r="E2" s="11">
        <v>9</v>
      </c>
      <c r="F2" s="9">
        <v>2</v>
      </c>
      <c r="G2" s="2">
        <v>5</v>
      </c>
      <c r="H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" s="19">
        <f>Clients[[#This Row],[Facture_Mensuelle]]*Clients[[#This Row],[Remise]]</f>
        <v>0</v>
      </c>
    </row>
    <row r="3" spans="1:9" x14ac:dyDescent="0.25">
      <c r="A3" s="2" t="s">
        <v>8</v>
      </c>
      <c r="B3" s="2" t="s">
        <v>9</v>
      </c>
      <c r="C3" s="2" t="s">
        <v>10</v>
      </c>
      <c r="D3" s="3">
        <v>84.66</v>
      </c>
      <c r="E3" s="11">
        <v>9</v>
      </c>
      <c r="F3" s="9">
        <v>5</v>
      </c>
      <c r="G3" s="2">
        <v>2</v>
      </c>
      <c r="H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" s="19">
        <f>Clients[[#This Row],[Facture_Mensuelle]]*Clients[[#This Row],[Remise]]</f>
        <v>38.097000000000001</v>
      </c>
    </row>
    <row r="4" spans="1:9" x14ac:dyDescent="0.25">
      <c r="A4" s="2" t="s">
        <v>11</v>
      </c>
      <c r="B4" s="2" t="s">
        <v>12</v>
      </c>
      <c r="C4" s="2" t="s">
        <v>13</v>
      </c>
      <c r="D4" s="3">
        <v>65.400000000000006</v>
      </c>
      <c r="E4" s="11">
        <v>4</v>
      </c>
      <c r="F4" s="9">
        <v>1</v>
      </c>
      <c r="G4" s="2">
        <v>2</v>
      </c>
      <c r="H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" s="19">
        <f>Clients[[#This Row],[Facture_Mensuelle]]*Clients[[#This Row],[Remise]]</f>
        <v>0</v>
      </c>
    </row>
    <row r="5" spans="1:9" x14ac:dyDescent="0.25">
      <c r="A5" s="2" t="s">
        <v>14</v>
      </c>
      <c r="B5" s="2" t="s">
        <v>15</v>
      </c>
      <c r="C5" s="2" t="s">
        <v>13</v>
      </c>
      <c r="D5" s="3">
        <v>15.88</v>
      </c>
      <c r="E5" s="11">
        <v>9</v>
      </c>
      <c r="F5" s="9">
        <v>3</v>
      </c>
      <c r="G5" s="2">
        <v>5</v>
      </c>
      <c r="H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" s="19">
        <f>Clients[[#This Row],[Facture_Mensuelle]]*Clients[[#This Row],[Remise]]</f>
        <v>0</v>
      </c>
    </row>
    <row r="6" spans="1:9" x14ac:dyDescent="0.25">
      <c r="A6" s="2" t="s">
        <v>16</v>
      </c>
      <c r="B6" s="2" t="s">
        <v>6</v>
      </c>
      <c r="C6" s="2" t="s">
        <v>13</v>
      </c>
      <c r="D6" s="3">
        <v>43.83</v>
      </c>
      <c r="E6" s="11">
        <v>2</v>
      </c>
      <c r="F6" s="9">
        <v>2</v>
      </c>
      <c r="G6" s="2">
        <v>5</v>
      </c>
      <c r="H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" s="19">
        <f>Clients[[#This Row],[Facture_Mensuelle]]*Clients[[#This Row],[Remise]]</f>
        <v>0</v>
      </c>
    </row>
    <row r="7" spans="1:9" x14ac:dyDescent="0.25">
      <c r="A7" s="2" t="s">
        <v>17</v>
      </c>
      <c r="B7" s="2" t="s">
        <v>18</v>
      </c>
      <c r="C7" s="2" t="s">
        <v>19</v>
      </c>
      <c r="D7" s="3">
        <v>21.17</v>
      </c>
      <c r="E7" s="11">
        <v>6</v>
      </c>
      <c r="F7" s="9">
        <v>8</v>
      </c>
      <c r="G7" s="2">
        <v>0</v>
      </c>
      <c r="H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" s="19">
        <f>Clients[[#This Row],[Facture_Mensuelle]]*Clients[[#This Row],[Remise]]</f>
        <v>9.5265000000000004</v>
      </c>
    </row>
    <row r="8" spans="1:9" x14ac:dyDescent="0.25">
      <c r="A8" s="2" t="s">
        <v>20</v>
      </c>
      <c r="B8" s="2" t="s">
        <v>9</v>
      </c>
      <c r="C8" s="2" t="s">
        <v>10</v>
      </c>
      <c r="D8" s="3">
        <v>33.74</v>
      </c>
      <c r="E8" s="11">
        <v>2</v>
      </c>
      <c r="F8" s="9">
        <v>4</v>
      </c>
      <c r="G8" s="2">
        <v>5</v>
      </c>
      <c r="H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8" s="19">
        <f>Clients[[#This Row],[Facture_Mensuelle]]*Clients[[#This Row],[Remise]]</f>
        <v>15.183000000000002</v>
      </c>
    </row>
    <row r="9" spans="1:9" x14ac:dyDescent="0.25">
      <c r="A9" s="2" t="s">
        <v>21</v>
      </c>
      <c r="B9" s="2" t="s">
        <v>22</v>
      </c>
      <c r="C9" s="2" t="s">
        <v>10</v>
      </c>
      <c r="D9" s="3">
        <v>10.28</v>
      </c>
      <c r="E9" s="11">
        <v>10</v>
      </c>
      <c r="F9" s="9">
        <v>6</v>
      </c>
      <c r="G9" s="2">
        <v>0</v>
      </c>
      <c r="H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9" s="19">
        <f>Clients[[#This Row],[Facture_Mensuelle]]*Clients[[#This Row],[Remise]]</f>
        <v>4.6259999999999994</v>
      </c>
    </row>
    <row r="10" spans="1:9" x14ac:dyDescent="0.25">
      <c r="A10" s="2" t="s">
        <v>23</v>
      </c>
      <c r="B10" s="2" t="s">
        <v>24</v>
      </c>
      <c r="C10" s="2" t="s">
        <v>19</v>
      </c>
      <c r="D10" s="3">
        <v>71.900000000000006</v>
      </c>
      <c r="E10" s="11">
        <v>0</v>
      </c>
      <c r="F10" s="9">
        <v>3</v>
      </c>
      <c r="G10" s="2">
        <v>2</v>
      </c>
      <c r="H1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" s="19">
        <f>Clients[[#This Row],[Facture_Mensuelle]]*Clients[[#This Row],[Remise]]</f>
        <v>32.355000000000004</v>
      </c>
    </row>
    <row r="11" spans="1:9" x14ac:dyDescent="0.25">
      <c r="A11" s="2" t="s">
        <v>25</v>
      </c>
      <c r="B11" s="2" t="s">
        <v>15</v>
      </c>
      <c r="C11" s="2" t="s">
        <v>7</v>
      </c>
      <c r="D11" s="3">
        <v>15.93</v>
      </c>
      <c r="E11" s="11">
        <v>2</v>
      </c>
      <c r="F11" s="9">
        <v>2</v>
      </c>
      <c r="G11" s="2">
        <v>4</v>
      </c>
      <c r="H1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1" s="19">
        <f>Clients[[#This Row],[Facture_Mensuelle]]*Clients[[#This Row],[Remise]]</f>
        <v>0</v>
      </c>
    </row>
    <row r="12" spans="1:9" x14ac:dyDescent="0.25">
      <c r="A12" s="2" t="s">
        <v>26</v>
      </c>
      <c r="B12" s="2" t="s">
        <v>6</v>
      </c>
      <c r="C12" s="2" t="s">
        <v>19</v>
      </c>
      <c r="D12" s="3">
        <v>11.15</v>
      </c>
      <c r="E12" s="11">
        <v>3</v>
      </c>
      <c r="F12" s="9">
        <v>6</v>
      </c>
      <c r="G12" s="2">
        <v>0</v>
      </c>
      <c r="H1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2" s="19">
        <f>Clients[[#This Row],[Facture_Mensuelle]]*Clients[[#This Row],[Remise]]</f>
        <v>5.0175000000000001</v>
      </c>
    </row>
    <row r="13" spans="1:9" x14ac:dyDescent="0.25">
      <c r="A13" s="2" t="s">
        <v>27</v>
      </c>
      <c r="B13" s="2" t="s">
        <v>28</v>
      </c>
      <c r="C13" s="2" t="s">
        <v>10</v>
      </c>
      <c r="D13" s="3">
        <v>21.27</v>
      </c>
      <c r="E13" s="11">
        <v>10</v>
      </c>
      <c r="F13" s="9">
        <v>1</v>
      </c>
      <c r="G13" s="2">
        <v>5</v>
      </c>
      <c r="H1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3" s="19">
        <f>Clients[[#This Row],[Facture_Mensuelle]]*Clients[[#This Row],[Remise]]</f>
        <v>2.1270000000000002</v>
      </c>
    </row>
    <row r="14" spans="1:9" x14ac:dyDescent="0.25">
      <c r="A14" s="2" t="s">
        <v>29</v>
      </c>
      <c r="B14" s="2" t="s">
        <v>30</v>
      </c>
      <c r="C14" s="2" t="s">
        <v>10</v>
      </c>
      <c r="D14" s="3">
        <v>61.52</v>
      </c>
      <c r="E14" s="11">
        <v>9</v>
      </c>
      <c r="F14" s="9">
        <v>2</v>
      </c>
      <c r="G14" s="2">
        <v>3</v>
      </c>
      <c r="H1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4" s="19">
        <f>Clients[[#This Row],[Facture_Mensuelle]]*Clients[[#This Row],[Remise]]</f>
        <v>6.152000000000001</v>
      </c>
    </row>
    <row r="15" spans="1:9" x14ac:dyDescent="0.25">
      <c r="A15" s="2" t="s">
        <v>31</v>
      </c>
      <c r="B15" s="2" t="s">
        <v>32</v>
      </c>
      <c r="C15" s="2" t="s">
        <v>10</v>
      </c>
      <c r="D15" s="3">
        <v>40.880000000000003</v>
      </c>
      <c r="E15" s="11">
        <v>10</v>
      </c>
      <c r="F15" s="9">
        <v>2</v>
      </c>
      <c r="G15" s="2">
        <v>4</v>
      </c>
      <c r="H1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5" s="19">
        <f>Clients[[#This Row],[Facture_Mensuelle]]*Clients[[#This Row],[Remise]]</f>
        <v>4.0880000000000001</v>
      </c>
    </row>
    <row r="16" spans="1:9" x14ac:dyDescent="0.25">
      <c r="A16" s="2" t="s">
        <v>33</v>
      </c>
      <c r="B16" s="2" t="s">
        <v>34</v>
      </c>
      <c r="C16" s="2" t="s">
        <v>13</v>
      </c>
      <c r="D16" s="3">
        <v>83.73</v>
      </c>
      <c r="E16" s="11">
        <v>4</v>
      </c>
      <c r="F16" s="9">
        <v>6</v>
      </c>
      <c r="G16" s="2">
        <v>0</v>
      </c>
      <c r="H1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" s="19">
        <f>Clients[[#This Row],[Facture_Mensuelle]]*Clients[[#This Row],[Remise]]</f>
        <v>37.6785</v>
      </c>
    </row>
    <row r="17" spans="1:9" x14ac:dyDescent="0.25">
      <c r="A17" s="2" t="s">
        <v>35</v>
      </c>
      <c r="B17" s="2" t="s">
        <v>6</v>
      </c>
      <c r="C17" s="2" t="s">
        <v>7</v>
      </c>
      <c r="D17" s="3">
        <v>71.319999999999993</v>
      </c>
      <c r="E17" s="11">
        <v>3</v>
      </c>
      <c r="F17" s="9">
        <v>1</v>
      </c>
      <c r="G17" s="2">
        <v>4</v>
      </c>
      <c r="H1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7" s="19">
        <f>Clients[[#This Row],[Facture_Mensuelle]]*Clients[[#This Row],[Remise]]</f>
        <v>0</v>
      </c>
    </row>
    <row r="18" spans="1:9" x14ac:dyDescent="0.25">
      <c r="A18" s="2" t="s">
        <v>36</v>
      </c>
      <c r="B18" s="2" t="s">
        <v>30</v>
      </c>
      <c r="C18" s="2" t="s">
        <v>7</v>
      </c>
      <c r="D18" s="3">
        <v>38.369999999999997</v>
      </c>
      <c r="E18" s="11">
        <v>1</v>
      </c>
      <c r="F18" s="9">
        <v>8</v>
      </c>
      <c r="G18" s="2">
        <v>4</v>
      </c>
      <c r="H1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8" s="19">
        <f>Clients[[#This Row],[Facture_Mensuelle]]*Clients[[#This Row],[Remise]]</f>
        <v>17.266500000000001</v>
      </c>
    </row>
    <row r="19" spans="1:9" x14ac:dyDescent="0.25">
      <c r="A19" s="2" t="s">
        <v>37</v>
      </c>
      <c r="B19" s="2" t="s">
        <v>38</v>
      </c>
      <c r="C19" s="2" t="s">
        <v>7</v>
      </c>
      <c r="D19" s="3">
        <v>65.709999999999994</v>
      </c>
      <c r="E19" s="11">
        <v>3</v>
      </c>
      <c r="F19" s="9">
        <v>1</v>
      </c>
      <c r="G19" s="2">
        <v>5</v>
      </c>
      <c r="H1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9" s="19">
        <f>Clients[[#This Row],[Facture_Mensuelle]]*Clients[[#This Row],[Remise]]</f>
        <v>0</v>
      </c>
    </row>
    <row r="20" spans="1:9" x14ac:dyDescent="0.25">
      <c r="A20" s="2" t="s">
        <v>39</v>
      </c>
      <c r="B20" s="2" t="s">
        <v>40</v>
      </c>
      <c r="C20" s="2" t="s">
        <v>10</v>
      </c>
      <c r="D20" s="3">
        <v>10</v>
      </c>
      <c r="E20" s="11">
        <v>0</v>
      </c>
      <c r="F20" s="9">
        <v>3</v>
      </c>
      <c r="G20" s="2">
        <v>5</v>
      </c>
      <c r="H2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0" s="19">
        <f>Clients[[#This Row],[Facture_Mensuelle]]*Clients[[#This Row],[Remise]]</f>
        <v>1</v>
      </c>
    </row>
    <row r="21" spans="1:9" x14ac:dyDescent="0.25">
      <c r="A21" s="2" t="s">
        <v>41</v>
      </c>
      <c r="B21" s="2" t="s">
        <v>42</v>
      </c>
      <c r="C21" s="2" t="s">
        <v>7</v>
      </c>
      <c r="D21" s="3">
        <v>89.56</v>
      </c>
      <c r="E21" s="11">
        <v>0</v>
      </c>
      <c r="F21" s="9">
        <v>3</v>
      </c>
      <c r="G21" s="2">
        <v>4</v>
      </c>
      <c r="H2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1" s="19">
        <f>Clients[[#This Row],[Facture_Mensuelle]]*Clients[[#This Row],[Remise]]</f>
        <v>0</v>
      </c>
    </row>
    <row r="22" spans="1:9" x14ac:dyDescent="0.25">
      <c r="A22" s="2" t="s">
        <v>43</v>
      </c>
      <c r="B22" s="2" t="s">
        <v>44</v>
      </c>
      <c r="C22" s="2" t="s">
        <v>10</v>
      </c>
      <c r="D22" s="3">
        <v>91.8</v>
      </c>
      <c r="E22" s="11">
        <v>6</v>
      </c>
      <c r="F22" s="9">
        <v>1</v>
      </c>
      <c r="G22" s="2">
        <v>5</v>
      </c>
      <c r="H2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2" s="19">
        <f>Clients[[#This Row],[Facture_Mensuelle]]*Clients[[#This Row],[Remise]]</f>
        <v>9.18</v>
      </c>
    </row>
    <row r="23" spans="1:9" x14ac:dyDescent="0.25">
      <c r="A23" s="2" t="s">
        <v>45</v>
      </c>
      <c r="B23" s="2" t="s">
        <v>46</v>
      </c>
      <c r="C23" s="2" t="s">
        <v>10</v>
      </c>
      <c r="D23" s="3">
        <v>90.13</v>
      </c>
      <c r="E23" s="11">
        <v>6</v>
      </c>
      <c r="F23" s="9">
        <v>3</v>
      </c>
      <c r="G23" s="2">
        <v>2</v>
      </c>
      <c r="H2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3" s="19">
        <f>Clients[[#This Row],[Facture_Mensuelle]]*Clients[[#This Row],[Remise]]</f>
        <v>9.0129999999999999</v>
      </c>
    </row>
    <row r="24" spans="1:9" x14ac:dyDescent="0.25">
      <c r="A24" s="2" t="s">
        <v>47</v>
      </c>
      <c r="B24" s="2" t="s">
        <v>48</v>
      </c>
      <c r="C24" s="2" t="s">
        <v>13</v>
      </c>
      <c r="D24" s="3">
        <v>64.709999999999994</v>
      </c>
      <c r="E24" s="11">
        <v>4</v>
      </c>
      <c r="F24" s="9">
        <v>2</v>
      </c>
      <c r="G24" s="2">
        <v>4</v>
      </c>
      <c r="H2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4" s="19">
        <f>Clients[[#This Row],[Facture_Mensuelle]]*Clients[[#This Row],[Remise]]</f>
        <v>0</v>
      </c>
    </row>
    <row r="25" spans="1:9" x14ac:dyDescent="0.25">
      <c r="A25" s="2" t="s">
        <v>49</v>
      </c>
      <c r="B25" s="2" t="s">
        <v>42</v>
      </c>
      <c r="C25" s="2" t="s">
        <v>13</v>
      </c>
      <c r="D25" s="3">
        <v>97.89</v>
      </c>
      <c r="E25" s="11">
        <v>6</v>
      </c>
      <c r="F25" s="9">
        <v>4</v>
      </c>
      <c r="G25" s="2">
        <v>1</v>
      </c>
      <c r="H2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" s="19">
        <f>Clients[[#This Row],[Facture_Mensuelle]]*Clients[[#This Row],[Remise]]</f>
        <v>44.0505</v>
      </c>
    </row>
    <row r="26" spans="1:9" x14ac:dyDescent="0.25">
      <c r="A26" s="2" t="s">
        <v>50</v>
      </c>
      <c r="B26" s="2" t="s">
        <v>15</v>
      </c>
      <c r="C26" s="2" t="s">
        <v>19</v>
      </c>
      <c r="D26" s="3">
        <v>33.159999999999997</v>
      </c>
      <c r="E26" s="11">
        <v>6</v>
      </c>
      <c r="F26" s="9">
        <v>1</v>
      </c>
      <c r="G26" s="2">
        <v>5</v>
      </c>
      <c r="H2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6" s="19">
        <f>Clients[[#This Row],[Facture_Mensuelle]]*Clients[[#This Row],[Remise]]</f>
        <v>0</v>
      </c>
    </row>
    <row r="27" spans="1:9" x14ac:dyDescent="0.25">
      <c r="A27" s="2" t="s">
        <v>51</v>
      </c>
      <c r="B27" s="2" t="s">
        <v>44</v>
      </c>
      <c r="C27" s="2" t="s">
        <v>19</v>
      </c>
      <c r="D27" s="3">
        <v>56.05</v>
      </c>
      <c r="E27" s="11">
        <v>4</v>
      </c>
      <c r="F27" s="9">
        <v>5</v>
      </c>
      <c r="G27" s="2">
        <v>1</v>
      </c>
      <c r="H2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7" s="19">
        <f>Clients[[#This Row],[Facture_Mensuelle]]*Clients[[#This Row],[Remise]]</f>
        <v>25.2225</v>
      </c>
    </row>
    <row r="28" spans="1:9" x14ac:dyDescent="0.25">
      <c r="A28" s="2" t="s">
        <v>52</v>
      </c>
      <c r="B28" s="2" t="s">
        <v>40</v>
      </c>
      <c r="C28" s="2" t="s">
        <v>19</v>
      </c>
      <c r="D28" s="3">
        <v>27.81</v>
      </c>
      <c r="E28" s="11">
        <v>1</v>
      </c>
      <c r="F28" s="9">
        <v>8</v>
      </c>
      <c r="G28" s="2">
        <v>2</v>
      </c>
      <c r="H2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8" s="19">
        <f>Clients[[#This Row],[Facture_Mensuelle]]*Clients[[#This Row],[Remise]]</f>
        <v>12.5145</v>
      </c>
    </row>
    <row r="29" spans="1:9" x14ac:dyDescent="0.25">
      <c r="A29" s="2" t="s">
        <v>53</v>
      </c>
      <c r="B29" s="2" t="s">
        <v>15</v>
      </c>
      <c r="C29" s="2" t="s">
        <v>19</v>
      </c>
      <c r="D29" s="3">
        <v>45.59</v>
      </c>
      <c r="E29" s="11">
        <v>1</v>
      </c>
      <c r="F29" s="9">
        <v>1</v>
      </c>
      <c r="G29" s="2">
        <v>0</v>
      </c>
      <c r="H2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9" s="19">
        <f>Clients[[#This Row],[Facture_Mensuelle]]*Clients[[#This Row],[Remise]]</f>
        <v>20.515500000000003</v>
      </c>
    </row>
    <row r="30" spans="1:9" x14ac:dyDescent="0.25">
      <c r="A30" s="2" t="s">
        <v>54</v>
      </c>
      <c r="B30" s="2" t="s">
        <v>12</v>
      </c>
      <c r="C30" s="2" t="s">
        <v>10</v>
      </c>
      <c r="D30" s="3">
        <v>23.83</v>
      </c>
      <c r="E30" s="11">
        <v>9</v>
      </c>
      <c r="F30" s="9">
        <v>7</v>
      </c>
      <c r="G30" s="2">
        <v>1</v>
      </c>
      <c r="H3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0" s="19">
        <f>Clients[[#This Row],[Facture_Mensuelle]]*Clients[[#This Row],[Remise]]</f>
        <v>10.7235</v>
      </c>
    </row>
    <row r="31" spans="1:9" x14ac:dyDescent="0.25">
      <c r="A31" s="2" t="s">
        <v>55</v>
      </c>
      <c r="B31" s="2" t="s">
        <v>42</v>
      </c>
      <c r="C31" s="2" t="s">
        <v>19</v>
      </c>
      <c r="D31" s="3">
        <v>55.67</v>
      </c>
      <c r="E31" s="11">
        <v>1</v>
      </c>
      <c r="F31" s="9">
        <v>1</v>
      </c>
      <c r="G31" s="2">
        <v>3</v>
      </c>
      <c r="H3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1" s="19">
        <f>Clients[[#This Row],[Facture_Mensuelle]]*Clients[[#This Row],[Remise]]</f>
        <v>25.051500000000001</v>
      </c>
    </row>
    <row r="32" spans="1:9" x14ac:dyDescent="0.25">
      <c r="A32" s="2" t="s">
        <v>56</v>
      </c>
      <c r="B32" s="2" t="s">
        <v>57</v>
      </c>
      <c r="C32" s="2" t="s">
        <v>7</v>
      </c>
      <c r="D32" s="3">
        <v>78.09</v>
      </c>
      <c r="E32" s="11">
        <v>1</v>
      </c>
      <c r="F32" s="9">
        <v>7</v>
      </c>
      <c r="G32" s="2">
        <v>0</v>
      </c>
      <c r="H3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2" s="19">
        <f>Clients[[#This Row],[Facture_Mensuelle]]*Clients[[#This Row],[Remise]]</f>
        <v>35.140500000000003</v>
      </c>
    </row>
    <row r="33" spans="1:9" x14ac:dyDescent="0.25">
      <c r="A33" s="2" t="s">
        <v>58</v>
      </c>
      <c r="B33" s="2" t="s">
        <v>59</v>
      </c>
      <c r="C33" s="2" t="s">
        <v>7</v>
      </c>
      <c r="D33" s="3">
        <v>27.86</v>
      </c>
      <c r="E33" s="11">
        <v>4</v>
      </c>
      <c r="F33" s="9">
        <v>7</v>
      </c>
      <c r="G33" s="2">
        <v>3</v>
      </c>
      <c r="H3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3" s="19">
        <f>Clients[[#This Row],[Facture_Mensuelle]]*Clients[[#This Row],[Remise]]</f>
        <v>12.537000000000001</v>
      </c>
    </row>
    <row r="34" spans="1:9" x14ac:dyDescent="0.25">
      <c r="A34" s="2" t="s">
        <v>60</v>
      </c>
      <c r="B34" s="2" t="s">
        <v>28</v>
      </c>
      <c r="C34" s="2" t="s">
        <v>10</v>
      </c>
      <c r="D34" s="3">
        <v>48.64</v>
      </c>
      <c r="E34" s="11">
        <v>1</v>
      </c>
      <c r="F34" s="9">
        <v>1</v>
      </c>
      <c r="G34" s="2">
        <v>0</v>
      </c>
      <c r="H3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4" s="19">
        <f>Clients[[#This Row],[Facture_Mensuelle]]*Clients[[#This Row],[Remise]]</f>
        <v>4.8640000000000008</v>
      </c>
    </row>
    <row r="35" spans="1:9" x14ac:dyDescent="0.25">
      <c r="A35" s="2" t="s">
        <v>61</v>
      </c>
      <c r="B35" s="2" t="s">
        <v>62</v>
      </c>
      <c r="C35" s="2" t="s">
        <v>10</v>
      </c>
      <c r="D35" s="3">
        <v>42.02</v>
      </c>
      <c r="E35" s="11">
        <v>2</v>
      </c>
      <c r="F35" s="9">
        <v>8</v>
      </c>
      <c r="G35" s="2">
        <v>1</v>
      </c>
      <c r="H3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" s="19">
        <f>Clients[[#This Row],[Facture_Mensuelle]]*Clients[[#This Row],[Remise]]</f>
        <v>18.909000000000002</v>
      </c>
    </row>
    <row r="36" spans="1:9" x14ac:dyDescent="0.25">
      <c r="A36" s="2" t="s">
        <v>63</v>
      </c>
      <c r="B36" s="2" t="s">
        <v>18</v>
      </c>
      <c r="C36" s="2" t="s">
        <v>10</v>
      </c>
      <c r="D36" s="3">
        <v>45.85</v>
      </c>
      <c r="E36" s="11">
        <v>4</v>
      </c>
      <c r="F36" s="9">
        <v>3</v>
      </c>
      <c r="G36" s="2">
        <v>2</v>
      </c>
      <c r="H3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6" s="19">
        <f>Clients[[#This Row],[Facture_Mensuelle]]*Clients[[#This Row],[Remise]]</f>
        <v>4.585</v>
      </c>
    </row>
    <row r="37" spans="1:9" x14ac:dyDescent="0.25">
      <c r="A37" s="2" t="s">
        <v>64</v>
      </c>
      <c r="B37" s="2" t="s">
        <v>65</v>
      </c>
      <c r="C37" s="2" t="s">
        <v>7</v>
      </c>
      <c r="D37" s="3">
        <v>10.89</v>
      </c>
      <c r="E37" s="11">
        <v>6</v>
      </c>
      <c r="F37" s="9">
        <v>6</v>
      </c>
      <c r="G37" s="2">
        <v>4</v>
      </c>
      <c r="H3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7" s="19">
        <f>Clients[[#This Row],[Facture_Mensuelle]]*Clients[[#This Row],[Remise]]</f>
        <v>4.9005000000000001</v>
      </c>
    </row>
    <row r="38" spans="1:9" x14ac:dyDescent="0.25">
      <c r="A38" s="2" t="s">
        <v>66</v>
      </c>
      <c r="B38" s="2" t="s">
        <v>40</v>
      </c>
      <c r="C38" s="2" t="s">
        <v>19</v>
      </c>
      <c r="D38" s="3">
        <v>93.25</v>
      </c>
      <c r="E38" s="11">
        <v>8</v>
      </c>
      <c r="F38" s="9">
        <v>2</v>
      </c>
      <c r="G38" s="2">
        <v>3</v>
      </c>
      <c r="H3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8" s="19">
        <f>Clients[[#This Row],[Facture_Mensuelle]]*Clients[[#This Row],[Remise]]</f>
        <v>0</v>
      </c>
    </row>
    <row r="39" spans="1:9" x14ac:dyDescent="0.25">
      <c r="A39" s="2" t="s">
        <v>67</v>
      </c>
      <c r="B39" s="2" t="s">
        <v>24</v>
      </c>
      <c r="C39" s="2" t="s">
        <v>7</v>
      </c>
      <c r="D39" s="3">
        <v>54.37</v>
      </c>
      <c r="E39" s="11">
        <v>2</v>
      </c>
      <c r="F39" s="9">
        <v>6</v>
      </c>
      <c r="G39" s="2">
        <v>2</v>
      </c>
      <c r="H3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9" s="19">
        <f>Clients[[#This Row],[Facture_Mensuelle]]*Clients[[#This Row],[Remise]]</f>
        <v>24.4665</v>
      </c>
    </row>
    <row r="40" spans="1:9" x14ac:dyDescent="0.25">
      <c r="A40" s="2" t="s">
        <v>68</v>
      </c>
      <c r="B40" s="2" t="s">
        <v>69</v>
      </c>
      <c r="C40" s="2" t="s">
        <v>19</v>
      </c>
      <c r="D40" s="3">
        <v>86.64</v>
      </c>
      <c r="E40" s="11">
        <v>7</v>
      </c>
      <c r="F40" s="9">
        <v>1</v>
      </c>
      <c r="G40" s="2">
        <v>1</v>
      </c>
      <c r="H4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0" s="19">
        <f>Clients[[#This Row],[Facture_Mensuelle]]*Clients[[#This Row],[Remise]]</f>
        <v>0</v>
      </c>
    </row>
    <row r="41" spans="1:9" x14ac:dyDescent="0.25">
      <c r="A41" s="2" t="s">
        <v>70</v>
      </c>
      <c r="B41" s="2" t="s">
        <v>12</v>
      </c>
      <c r="C41" s="2" t="s">
        <v>7</v>
      </c>
      <c r="D41" s="3">
        <v>88.12</v>
      </c>
      <c r="E41" s="11">
        <v>4</v>
      </c>
      <c r="F41" s="9">
        <v>7</v>
      </c>
      <c r="G41" s="2">
        <v>0</v>
      </c>
      <c r="H4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1" s="19">
        <f>Clients[[#This Row],[Facture_Mensuelle]]*Clients[[#This Row],[Remise]]</f>
        <v>39.654000000000003</v>
      </c>
    </row>
    <row r="42" spans="1:9" x14ac:dyDescent="0.25">
      <c r="A42" s="2" t="s">
        <v>71</v>
      </c>
      <c r="B42" s="2" t="s">
        <v>72</v>
      </c>
      <c r="C42" s="2" t="s">
        <v>7</v>
      </c>
      <c r="D42" s="3">
        <v>52.82</v>
      </c>
      <c r="E42" s="11">
        <v>8</v>
      </c>
      <c r="F42" s="9">
        <v>1</v>
      </c>
      <c r="G42" s="2">
        <v>2</v>
      </c>
      <c r="H4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2" s="19">
        <f>Clients[[#This Row],[Facture_Mensuelle]]*Clients[[#This Row],[Remise]]</f>
        <v>0</v>
      </c>
    </row>
    <row r="43" spans="1:9" x14ac:dyDescent="0.25">
      <c r="A43" s="2" t="s">
        <v>73</v>
      </c>
      <c r="B43" s="2" t="s">
        <v>22</v>
      </c>
      <c r="C43" s="2" t="s">
        <v>13</v>
      </c>
      <c r="D43" s="3">
        <v>10.47</v>
      </c>
      <c r="E43" s="11">
        <v>5</v>
      </c>
      <c r="F43" s="9">
        <v>8</v>
      </c>
      <c r="G43" s="2">
        <v>5</v>
      </c>
      <c r="H4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3" s="19">
        <f>Clients[[#This Row],[Facture_Mensuelle]]*Clients[[#This Row],[Remise]]</f>
        <v>4.7115</v>
      </c>
    </row>
    <row r="44" spans="1:9" x14ac:dyDescent="0.25">
      <c r="A44" s="2" t="s">
        <v>74</v>
      </c>
      <c r="B44" s="2" t="s">
        <v>57</v>
      </c>
      <c r="C44" s="2" t="s">
        <v>19</v>
      </c>
      <c r="D44" s="3">
        <v>38.950000000000003</v>
      </c>
      <c r="E44" s="11">
        <v>2</v>
      </c>
      <c r="F44" s="9">
        <v>1</v>
      </c>
      <c r="G44" s="2">
        <v>5</v>
      </c>
      <c r="H4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4" s="19">
        <f>Clients[[#This Row],[Facture_Mensuelle]]*Clients[[#This Row],[Remise]]</f>
        <v>17.527500000000003</v>
      </c>
    </row>
    <row r="45" spans="1:9" x14ac:dyDescent="0.25">
      <c r="A45" s="2" t="s">
        <v>75</v>
      </c>
      <c r="B45" s="2" t="s">
        <v>42</v>
      </c>
      <c r="C45" s="2" t="s">
        <v>19</v>
      </c>
      <c r="D45" s="3">
        <v>76.42</v>
      </c>
      <c r="E45" s="11">
        <v>4</v>
      </c>
      <c r="F45" s="9">
        <v>8</v>
      </c>
      <c r="G45" s="2">
        <v>1</v>
      </c>
      <c r="H4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5" s="19">
        <f>Clients[[#This Row],[Facture_Mensuelle]]*Clients[[#This Row],[Remise]]</f>
        <v>34.389000000000003</v>
      </c>
    </row>
    <row r="46" spans="1:9" x14ac:dyDescent="0.25">
      <c r="A46" s="2" t="s">
        <v>76</v>
      </c>
      <c r="B46" s="2" t="s">
        <v>57</v>
      </c>
      <c r="C46" s="2" t="s">
        <v>7</v>
      </c>
      <c r="D46" s="3">
        <v>44.84</v>
      </c>
      <c r="E46" s="11">
        <v>9</v>
      </c>
      <c r="F46" s="9">
        <v>8</v>
      </c>
      <c r="G46" s="2">
        <v>4</v>
      </c>
      <c r="H4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6" s="19">
        <f>Clients[[#This Row],[Facture_Mensuelle]]*Clients[[#This Row],[Remise]]</f>
        <v>20.178000000000001</v>
      </c>
    </row>
    <row r="47" spans="1:9" x14ac:dyDescent="0.25">
      <c r="A47" s="2" t="s">
        <v>77</v>
      </c>
      <c r="B47" s="2" t="s">
        <v>34</v>
      </c>
      <c r="C47" s="2" t="s">
        <v>10</v>
      </c>
      <c r="D47" s="3">
        <v>86</v>
      </c>
      <c r="E47" s="11">
        <v>8</v>
      </c>
      <c r="F47" s="9">
        <v>3</v>
      </c>
      <c r="G47" s="2">
        <v>3</v>
      </c>
      <c r="H4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7" s="19">
        <f>Clients[[#This Row],[Facture_Mensuelle]]*Clients[[#This Row],[Remise]]</f>
        <v>8.6</v>
      </c>
    </row>
    <row r="48" spans="1:9" x14ac:dyDescent="0.25">
      <c r="A48" s="2" t="s">
        <v>78</v>
      </c>
      <c r="B48" s="2" t="s">
        <v>44</v>
      </c>
      <c r="C48" s="2" t="s">
        <v>13</v>
      </c>
      <c r="D48" s="3">
        <v>69.36</v>
      </c>
      <c r="E48" s="11">
        <v>10</v>
      </c>
      <c r="F48" s="9">
        <v>4</v>
      </c>
      <c r="G48" s="2">
        <v>0</v>
      </c>
      <c r="H4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8" s="19">
        <f>Clients[[#This Row],[Facture_Mensuelle]]*Clients[[#This Row],[Remise]]</f>
        <v>31.212</v>
      </c>
    </row>
    <row r="49" spans="1:9" x14ac:dyDescent="0.25">
      <c r="A49" s="2" t="s">
        <v>79</v>
      </c>
      <c r="B49" s="2" t="s">
        <v>65</v>
      </c>
      <c r="C49" s="2" t="s">
        <v>7</v>
      </c>
      <c r="D49" s="3">
        <v>65.489999999999995</v>
      </c>
      <c r="E49" s="11">
        <v>2</v>
      </c>
      <c r="F49" s="9">
        <v>5</v>
      </c>
      <c r="G49" s="2">
        <v>1</v>
      </c>
      <c r="H4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9" s="19">
        <f>Clients[[#This Row],[Facture_Mensuelle]]*Clients[[#This Row],[Remise]]</f>
        <v>29.470499999999998</v>
      </c>
    </row>
    <row r="50" spans="1:9" x14ac:dyDescent="0.25">
      <c r="A50" s="2" t="s">
        <v>80</v>
      </c>
      <c r="B50" s="2" t="s">
        <v>34</v>
      </c>
      <c r="C50" s="2" t="s">
        <v>10</v>
      </c>
      <c r="D50" s="3">
        <v>36.93</v>
      </c>
      <c r="E50" s="11">
        <v>1</v>
      </c>
      <c r="F50" s="9">
        <v>2</v>
      </c>
      <c r="G50" s="2">
        <v>0</v>
      </c>
      <c r="H5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50" s="19">
        <f>Clients[[#This Row],[Facture_Mensuelle]]*Clients[[#This Row],[Remise]]</f>
        <v>3.6930000000000001</v>
      </c>
    </row>
    <row r="51" spans="1:9" x14ac:dyDescent="0.25">
      <c r="A51" s="2" t="s">
        <v>81</v>
      </c>
      <c r="B51" s="2" t="s">
        <v>28</v>
      </c>
      <c r="C51" s="2" t="s">
        <v>13</v>
      </c>
      <c r="D51" s="3">
        <v>82.81</v>
      </c>
      <c r="E51" s="11">
        <v>1</v>
      </c>
      <c r="F51" s="9">
        <v>2</v>
      </c>
      <c r="G51" s="2">
        <v>0</v>
      </c>
      <c r="H5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1" s="19">
        <f>Clients[[#This Row],[Facture_Mensuelle]]*Clients[[#This Row],[Remise]]</f>
        <v>0</v>
      </c>
    </row>
    <row r="52" spans="1:9" x14ac:dyDescent="0.25">
      <c r="A52" s="2" t="s">
        <v>82</v>
      </c>
      <c r="B52" s="2" t="s">
        <v>69</v>
      </c>
      <c r="C52" s="2" t="s">
        <v>10</v>
      </c>
      <c r="D52" s="3">
        <v>24.11</v>
      </c>
      <c r="E52" s="11">
        <v>3</v>
      </c>
      <c r="F52" s="9">
        <v>7</v>
      </c>
      <c r="G52" s="2">
        <v>2</v>
      </c>
      <c r="H5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2" s="19">
        <f>Clients[[#This Row],[Facture_Mensuelle]]*Clients[[#This Row],[Remise]]</f>
        <v>10.849500000000001</v>
      </c>
    </row>
    <row r="53" spans="1:9" x14ac:dyDescent="0.25">
      <c r="A53" s="2" t="s">
        <v>83</v>
      </c>
      <c r="B53" s="2" t="s">
        <v>28</v>
      </c>
      <c r="C53" s="2" t="s">
        <v>19</v>
      </c>
      <c r="D53" s="3">
        <v>31.48</v>
      </c>
      <c r="E53" s="11">
        <v>4</v>
      </c>
      <c r="F53" s="9">
        <v>0</v>
      </c>
      <c r="G53" s="2">
        <v>5</v>
      </c>
      <c r="H5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3" s="19">
        <f>Clients[[#This Row],[Facture_Mensuelle]]*Clients[[#This Row],[Remise]]</f>
        <v>14.166</v>
      </c>
    </row>
    <row r="54" spans="1:9" x14ac:dyDescent="0.25">
      <c r="A54" s="2" t="s">
        <v>84</v>
      </c>
      <c r="B54" s="2" t="s">
        <v>30</v>
      </c>
      <c r="C54" s="2" t="s">
        <v>13</v>
      </c>
      <c r="D54" s="3">
        <v>41.76</v>
      </c>
      <c r="E54" s="11">
        <v>7</v>
      </c>
      <c r="F54" s="9">
        <v>0</v>
      </c>
      <c r="G54" s="2">
        <v>5</v>
      </c>
      <c r="H5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4" s="19">
        <f>Clients[[#This Row],[Facture_Mensuelle]]*Clients[[#This Row],[Remise]]</f>
        <v>0</v>
      </c>
    </row>
    <row r="55" spans="1:9" x14ac:dyDescent="0.25">
      <c r="A55" s="2" t="s">
        <v>85</v>
      </c>
      <c r="B55" s="2" t="s">
        <v>59</v>
      </c>
      <c r="C55" s="2" t="s">
        <v>19</v>
      </c>
      <c r="D55" s="3">
        <v>28.38</v>
      </c>
      <c r="E55" s="11">
        <v>8</v>
      </c>
      <c r="F55" s="9">
        <v>7</v>
      </c>
      <c r="G55" s="2">
        <v>5</v>
      </c>
      <c r="H5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5" s="19">
        <f>Clients[[#This Row],[Facture_Mensuelle]]*Clients[[#This Row],[Remise]]</f>
        <v>12.770999999999999</v>
      </c>
    </row>
    <row r="56" spans="1:9" x14ac:dyDescent="0.25">
      <c r="A56" s="2" t="s">
        <v>86</v>
      </c>
      <c r="B56" s="2" t="s">
        <v>69</v>
      </c>
      <c r="C56" s="2" t="s">
        <v>7</v>
      </c>
      <c r="D56" s="3">
        <v>82.3</v>
      </c>
      <c r="E56" s="11">
        <v>7</v>
      </c>
      <c r="F56" s="9">
        <v>6</v>
      </c>
      <c r="G56" s="2">
        <v>1</v>
      </c>
      <c r="H5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6" s="19">
        <f>Clients[[#This Row],[Facture_Mensuelle]]*Clients[[#This Row],[Remise]]</f>
        <v>37.034999999999997</v>
      </c>
    </row>
    <row r="57" spans="1:9" x14ac:dyDescent="0.25">
      <c r="A57" s="2" t="s">
        <v>87</v>
      </c>
      <c r="B57" s="2" t="s">
        <v>57</v>
      </c>
      <c r="C57" s="2" t="s">
        <v>10</v>
      </c>
      <c r="D57" s="3">
        <v>13.21</v>
      </c>
      <c r="E57" s="11">
        <v>2</v>
      </c>
      <c r="F57" s="9">
        <v>8</v>
      </c>
      <c r="G57" s="2">
        <v>1</v>
      </c>
      <c r="H5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7" s="19">
        <f>Clients[[#This Row],[Facture_Mensuelle]]*Clients[[#This Row],[Remise]]</f>
        <v>5.9445000000000006</v>
      </c>
    </row>
    <row r="58" spans="1:9" x14ac:dyDescent="0.25">
      <c r="A58" s="2" t="s">
        <v>88</v>
      </c>
      <c r="B58" s="2" t="s">
        <v>42</v>
      </c>
      <c r="C58" s="2" t="s">
        <v>7</v>
      </c>
      <c r="D58" s="3">
        <v>65.78</v>
      </c>
      <c r="E58" s="11">
        <v>8</v>
      </c>
      <c r="F58" s="9">
        <v>3</v>
      </c>
      <c r="G58" s="2">
        <v>4</v>
      </c>
      <c r="H5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8" s="19">
        <f>Clients[[#This Row],[Facture_Mensuelle]]*Clients[[#This Row],[Remise]]</f>
        <v>0</v>
      </c>
    </row>
    <row r="59" spans="1:9" x14ac:dyDescent="0.25">
      <c r="A59" s="2" t="s">
        <v>89</v>
      </c>
      <c r="B59" s="2" t="s">
        <v>22</v>
      </c>
      <c r="C59" s="2" t="s">
        <v>7</v>
      </c>
      <c r="D59" s="3">
        <v>89.16</v>
      </c>
      <c r="E59" s="11">
        <v>0</v>
      </c>
      <c r="F59" s="9">
        <v>2</v>
      </c>
      <c r="G59" s="2">
        <v>3</v>
      </c>
      <c r="H5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9" s="19">
        <f>Clients[[#This Row],[Facture_Mensuelle]]*Clients[[#This Row],[Remise]]</f>
        <v>0</v>
      </c>
    </row>
    <row r="60" spans="1:9" x14ac:dyDescent="0.25">
      <c r="A60" s="2" t="s">
        <v>90</v>
      </c>
      <c r="B60" s="2" t="s">
        <v>46</v>
      </c>
      <c r="C60" s="2" t="s">
        <v>10</v>
      </c>
      <c r="D60" s="3">
        <v>77.12</v>
      </c>
      <c r="E60" s="11">
        <v>1</v>
      </c>
      <c r="F60" s="9">
        <v>7</v>
      </c>
      <c r="G60" s="2">
        <v>1</v>
      </c>
      <c r="H6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0" s="19">
        <f>Clients[[#This Row],[Facture_Mensuelle]]*Clients[[#This Row],[Remise]]</f>
        <v>34.704000000000001</v>
      </c>
    </row>
    <row r="61" spans="1:9" x14ac:dyDescent="0.25">
      <c r="A61" s="2" t="s">
        <v>91</v>
      </c>
      <c r="B61" s="2" t="s">
        <v>48</v>
      </c>
      <c r="C61" s="2" t="s">
        <v>10</v>
      </c>
      <c r="D61" s="3">
        <v>43.81</v>
      </c>
      <c r="E61" s="11">
        <v>4</v>
      </c>
      <c r="F61" s="9">
        <v>2</v>
      </c>
      <c r="G61" s="2">
        <v>5</v>
      </c>
      <c r="H6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1" s="19">
        <f>Clients[[#This Row],[Facture_Mensuelle]]*Clients[[#This Row],[Remise]]</f>
        <v>4.3810000000000002</v>
      </c>
    </row>
    <row r="62" spans="1:9" x14ac:dyDescent="0.25">
      <c r="A62" s="2" t="s">
        <v>92</v>
      </c>
      <c r="B62" s="2" t="s">
        <v>28</v>
      </c>
      <c r="C62" s="2" t="s">
        <v>7</v>
      </c>
      <c r="D62" s="3">
        <v>81.11</v>
      </c>
      <c r="E62" s="11">
        <v>2</v>
      </c>
      <c r="F62" s="9">
        <v>5</v>
      </c>
      <c r="G62" s="2">
        <v>1</v>
      </c>
      <c r="H6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2" s="19">
        <f>Clients[[#This Row],[Facture_Mensuelle]]*Clients[[#This Row],[Remise]]</f>
        <v>36.499499999999998</v>
      </c>
    </row>
    <row r="63" spans="1:9" x14ac:dyDescent="0.25">
      <c r="A63" s="2" t="s">
        <v>93</v>
      </c>
      <c r="B63" s="2" t="s">
        <v>34</v>
      </c>
      <c r="C63" s="2" t="s">
        <v>7</v>
      </c>
      <c r="D63" s="3">
        <v>46.41</v>
      </c>
      <c r="E63" s="11">
        <v>5</v>
      </c>
      <c r="F63" s="9">
        <v>0</v>
      </c>
      <c r="G63" s="2">
        <v>3</v>
      </c>
      <c r="H6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3" s="19">
        <f>Clients[[#This Row],[Facture_Mensuelle]]*Clients[[#This Row],[Remise]]</f>
        <v>0</v>
      </c>
    </row>
    <row r="64" spans="1:9" x14ac:dyDescent="0.25">
      <c r="A64" s="2" t="s">
        <v>94</v>
      </c>
      <c r="B64" s="2" t="s">
        <v>46</v>
      </c>
      <c r="C64" s="2" t="s">
        <v>10</v>
      </c>
      <c r="D64" s="3">
        <v>86.7</v>
      </c>
      <c r="E64" s="11">
        <v>3</v>
      </c>
      <c r="F64" s="9">
        <v>5</v>
      </c>
      <c r="G64" s="2">
        <v>3</v>
      </c>
      <c r="H6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4" s="19">
        <f>Clients[[#This Row],[Facture_Mensuelle]]*Clients[[#This Row],[Remise]]</f>
        <v>39.015000000000001</v>
      </c>
    </row>
    <row r="65" spans="1:9" x14ac:dyDescent="0.25">
      <c r="A65" s="2" t="s">
        <v>95</v>
      </c>
      <c r="B65" s="2" t="s">
        <v>57</v>
      </c>
      <c r="C65" s="2" t="s">
        <v>19</v>
      </c>
      <c r="D65" s="3">
        <v>88.58</v>
      </c>
      <c r="E65" s="11">
        <v>8</v>
      </c>
      <c r="F65" s="9">
        <v>5</v>
      </c>
      <c r="G65" s="2">
        <v>0</v>
      </c>
      <c r="H6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" s="19">
        <f>Clients[[#This Row],[Facture_Mensuelle]]*Clients[[#This Row],[Remise]]</f>
        <v>39.860999999999997</v>
      </c>
    </row>
    <row r="66" spans="1:9" x14ac:dyDescent="0.25">
      <c r="A66" s="2" t="s">
        <v>96</v>
      </c>
      <c r="B66" s="2" t="s">
        <v>97</v>
      </c>
      <c r="C66" s="2" t="s">
        <v>19</v>
      </c>
      <c r="D66" s="3">
        <v>83.04</v>
      </c>
      <c r="E66" s="11">
        <v>6</v>
      </c>
      <c r="F66" s="9">
        <v>3</v>
      </c>
      <c r="G66" s="2">
        <v>4</v>
      </c>
      <c r="H6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6" s="19">
        <f>Clients[[#This Row],[Facture_Mensuelle]]*Clients[[#This Row],[Remise]]</f>
        <v>0</v>
      </c>
    </row>
    <row r="67" spans="1:9" x14ac:dyDescent="0.25">
      <c r="A67" s="2" t="s">
        <v>98</v>
      </c>
      <c r="B67" s="2" t="s">
        <v>28</v>
      </c>
      <c r="C67" s="2" t="s">
        <v>10</v>
      </c>
      <c r="D67" s="3">
        <v>19.47</v>
      </c>
      <c r="E67" s="11">
        <v>7</v>
      </c>
      <c r="F67" s="9">
        <v>3</v>
      </c>
      <c r="G67" s="2">
        <v>3</v>
      </c>
      <c r="H6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7" s="19">
        <f>Clients[[#This Row],[Facture_Mensuelle]]*Clients[[#This Row],[Remise]]</f>
        <v>1.9470000000000001</v>
      </c>
    </row>
    <row r="68" spans="1:9" x14ac:dyDescent="0.25">
      <c r="A68" s="2" t="s">
        <v>99</v>
      </c>
      <c r="B68" s="2" t="s">
        <v>44</v>
      </c>
      <c r="C68" s="2" t="s">
        <v>7</v>
      </c>
      <c r="D68" s="3">
        <v>76.86</v>
      </c>
      <c r="E68" s="11">
        <v>3</v>
      </c>
      <c r="F68" s="9">
        <v>1</v>
      </c>
      <c r="G68" s="2">
        <v>1</v>
      </c>
      <c r="H6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8" s="19">
        <f>Clients[[#This Row],[Facture_Mensuelle]]*Clients[[#This Row],[Remise]]</f>
        <v>0</v>
      </c>
    </row>
    <row r="69" spans="1:9" x14ac:dyDescent="0.25">
      <c r="A69" s="2" t="s">
        <v>100</v>
      </c>
      <c r="B69" s="2" t="s">
        <v>44</v>
      </c>
      <c r="C69" s="2" t="s">
        <v>13</v>
      </c>
      <c r="D69" s="3">
        <v>32.51</v>
      </c>
      <c r="E69" s="11">
        <v>5</v>
      </c>
      <c r="F69" s="9">
        <v>1</v>
      </c>
      <c r="G69" s="2">
        <v>4</v>
      </c>
      <c r="H6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9" s="19">
        <f>Clients[[#This Row],[Facture_Mensuelle]]*Clients[[#This Row],[Remise]]</f>
        <v>0</v>
      </c>
    </row>
    <row r="70" spans="1:9" x14ac:dyDescent="0.25">
      <c r="A70" s="2" t="s">
        <v>101</v>
      </c>
      <c r="B70" s="2" t="s">
        <v>65</v>
      </c>
      <c r="C70" s="2" t="s">
        <v>10</v>
      </c>
      <c r="D70" s="3">
        <v>35.380000000000003</v>
      </c>
      <c r="E70" s="11">
        <v>4</v>
      </c>
      <c r="F70" s="9">
        <v>2</v>
      </c>
      <c r="G70" s="2">
        <v>1</v>
      </c>
      <c r="H7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70" s="19">
        <f>Clients[[#This Row],[Facture_Mensuelle]]*Clients[[#This Row],[Remise]]</f>
        <v>3.5380000000000003</v>
      </c>
    </row>
    <row r="71" spans="1:9" x14ac:dyDescent="0.25">
      <c r="A71" s="2" t="s">
        <v>102</v>
      </c>
      <c r="B71" s="2" t="s">
        <v>32</v>
      </c>
      <c r="C71" s="2" t="s">
        <v>13</v>
      </c>
      <c r="D71" s="3">
        <v>21.26</v>
      </c>
      <c r="E71" s="11">
        <v>4</v>
      </c>
      <c r="F71" s="9">
        <v>3</v>
      </c>
      <c r="G71" s="2">
        <v>2</v>
      </c>
      <c r="H7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1" s="19">
        <f>Clients[[#This Row],[Facture_Mensuelle]]*Clients[[#This Row],[Remise]]</f>
        <v>0</v>
      </c>
    </row>
    <row r="72" spans="1:9" x14ac:dyDescent="0.25">
      <c r="A72" s="2" t="s">
        <v>103</v>
      </c>
      <c r="B72" s="2" t="s">
        <v>32</v>
      </c>
      <c r="C72" s="2" t="s">
        <v>10</v>
      </c>
      <c r="D72" s="3">
        <v>36.42</v>
      </c>
      <c r="E72" s="11">
        <v>4</v>
      </c>
      <c r="F72" s="9">
        <v>6</v>
      </c>
      <c r="G72" s="2">
        <v>1</v>
      </c>
      <c r="H7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2" s="19">
        <f>Clients[[#This Row],[Facture_Mensuelle]]*Clients[[#This Row],[Remise]]</f>
        <v>16.389000000000003</v>
      </c>
    </row>
    <row r="73" spans="1:9" x14ac:dyDescent="0.25">
      <c r="A73" s="2" t="s">
        <v>104</v>
      </c>
      <c r="B73" s="2" t="s">
        <v>105</v>
      </c>
      <c r="C73" s="2" t="s">
        <v>13</v>
      </c>
      <c r="D73" s="3">
        <v>97.46</v>
      </c>
      <c r="E73" s="11">
        <v>9</v>
      </c>
      <c r="F73" s="9">
        <v>1</v>
      </c>
      <c r="G73" s="2">
        <v>5</v>
      </c>
      <c r="H7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3" s="19">
        <f>Clients[[#This Row],[Facture_Mensuelle]]*Clients[[#This Row],[Remise]]</f>
        <v>0</v>
      </c>
    </row>
    <row r="74" spans="1:9" x14ac:dyDescent="0.25">
      <c r="A74" s="2" t="s">
        <v>106</v>
      </c>
      <c r="B74" s="2" t="s">
        <v>22</v>
      </c>
      <c r="C74" s="2" t="s">
        <v>13</v>
      </c>
      <c r="D74" s="3">
        <v>53.98</v>
      </c>
      <c r="E74" s="11">
        <v>3</v>
      </c>
      <c r="F74" s="9">
        <v>4</v>
      </c>
      <c r="G74" s="2">
        <v>2</v>
      </c>
      <c r="H7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" s="19">
        <f>Clients[[#This Row],[Facture_Mensuelle]]*Clients[[#This Row],[Remise]]</f>
        <v>24.291</v>
      </c>
    </row>
    <row r="75" spans="1:9" x14ac:dyDescent="0.25">
      <c r="A75" s="2" t="s">
        <v>107</v>
      </c>
      <c r="B75" s="2" t="s">
        <v>24</v>
      </c>
      <c r="C75" s="2" t="s">
        <v>13</v>
      </c>
      <c r="D75" s="3">
        <v>72.790000000000006</v>
      </c>
      <c r="E75" s="11">
        <v>5</v>
      </c>
      <c r="F75" s="9">
        <v>6</v>
      </c>
      <c r="G75" s="2">
        <v>1</v>
      </c>
      <c r="H7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5" s="19">
        <f>Clients[[#This Row],[Facture_Mensuelle]]*Clients[[#This Row],[Remise]]</f>
        <v>32.755500000000005</v>
      </c>
    </row>
    <row r="76" spans="1:9" x14ac:dyDescent="0.25">
      <c r="A76" s="2" t="s">
        <v>108</v>
      </c>
      <c r="B76" s="2" t="s">
        <v>9</v>
      </c>
      <c r="C76" s="2" t="s">
        <v>7</v>
      </c>
      <c r="D76" s="3">
        <v>38.19</v>
      </c>
      <c r="E76" s="11">
        <v>9</v>
      </c>
      <c r="F76" s="9">
        <v>1</v>
      </c>
      <c r="G76" s="2">
        <v>5</v>
      </c>
      <c r="H7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6" s="19">
        <f>Clients[[#This Row],[Facture_Mensuelle]]*Clients[[#This Row],[Remise]]</f>
        <v>0</v>
      </c>
    </row>
    <row r="77" spans="1:9" x14ac:dyDescent="0.25">
      <c r="A77" s="2" t="s">
        <v>109</v>
      </c>
      <c r="B77" s="2" t="s">
        <v>105</v>
      </c>
      <c r="C77" s="2" t="s">
        <v>13</v>
      </c>
      <c r="D77" s="3">
        <v>55.43</v>
      </c>
      <c r="E77" s="11">
        <v>8</v>
      </c>
      <c r="F77" s="9">
        <v>8</v>
      </c>
      <c r="G77" s="2">
        <v>2</v>
      </c>
      <c r="H7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7" s="19">
        <f>Clients[[#This Row],[Facture_Mensuelle]]*Clients[[#This Row],[Remise]]</f>
        <v>24.9435</v>
      </c>
    </row>
    <row r="78" spans="1:9" x14ac:dyDescent="0.25">
      <c r="A78" s="2" t="s">
        <v>110</v>
      </c>
      <c r="B78" s="2" t="s">
        <v>72</v>
      </c>
      <c r="C78" s="2" t="s">
        <v>19</v>
      </c>
      <c r="D78" s="3">
        <v>32.08</v>
      </c>
      <c r="E78" s="11">
        <v>5</v>
      </c>
      <c r="F78" s="9">
        <v>6</v>
      </c>
      <c r="G78" s="2">
        <v>1</v>
      </c>
      <c r="H7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8" s="19">
        <f>Clients[[#This Row],[Facture_Mensuelle]]*Clients[[#This Row],[Remise]]</f>
        <v>14.436</v>
      </c>
    </row>
    <row r="79" spans="1:9" x14ac:dyDescent="0.25">
      <c r="A79" s="2" t="s">
        <v>111</v>
      </c>
      <c r="B79" s="2" t="s">
        <v>34</v>
      </c>
      <c r="C79" s="2" t="s">
        <v>10</v>
      </c>
      <c r="D79" s="3">
        <v>15.39</v>
      </c>
      <c r="E79" s="11">
        <v>10</v>
      </c>
      <c r="F79" s="9">
        <v>0</v>
      </c>
      <c r="G79" s="2">
        <v>1</v>
      </c>
      <c r="H7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79" s="19">
        <f>Clients[[#This Row],[Facture_Mensuelle]]*Clients[[#This Row],[Remise]]</f>
        <v>1.5390000000000001</v>
      </c>
    </row>
    <row r="80" spans="1:9" x14ac:dyDescent="0.25">
      <c r="A80" s="2" t="s">
        <v>112</v>
      </c>
      <c r="B80" s="2" t="s">
        <v>38</v>
      </c>
      <c r="C80" s="2" t="s">
        <v>13</v>
      </c>
      <c r="D80" s="3">
        <v>86.17</v>
      </c>
      <c r="E80" s="11">
        <v>5</v>
      </c>
      <c r="F80" s="9">
        <v>3</v>
      </c>
      <c r="G80" s="2">
        <v>1</v>
      </c>
      <c r="H8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80" s="19">
        <f>Clients[[#This Row],[Facture_Mensuelle]]*Clients[[#This Row],[Remise]]</f>
        <v>0</v>
      </c>
    </row>
    <row r="81" spans="1:9" x14ac:dyDescent="0.25">
      <c r="A81" s="2" t="s">
        <v>113</v>
      </c>
      <c r="B81" s="2" t="s">
        <v>69</v>
      </c>
      <c r="C81" s="2" t="s">
        <v>7</v>
      </c>
      <c r="D81" s="3">
        <v>83.4</v>
      </c>
      <c r="E81" s="11">
        <v>1</v>
      </c>
      <c r="F81" s="9">
        <v>7</v>
      </c>
      <c r="G81" s="2">
        <v>1</v>
      </c>
      <c r="H8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81" s="19">
        <f>Clients[[#This Row],[Facture_Mensuelle]]*Clients[[#This Row],[Remise]]</f>
        <v>37.53</v>
      </c>
    </row>
    <row r="82" spans="1:9" x14ac:dyDescent="0.25">
      <c r="A82" s="2" t="s">
        <v>114</v>
      </c>
      <c r="B82" s="2" t="s">
        <v>6</v>
      </c>
      <c r="C82" s="2" t="s">
        <v>7</v>
      </c>
      <c r="D82" s="3">
        <v>13.97</v>
      </c>
      <c r="E82" s="11">
        <v>6</v>
      </c>
      <c r="F82" s="9">
        <v>5</v>
      </c>
      <c r="G82" s="2">
        <v>1</v>
      </c>
      <c r="H8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82" s="19">
        <f>Clients[[#This Row],[Facture_Mensuelle]]*Clients[[#This Row],[Remise]]</f>
        <v>6.2865000000000002</v>
      </c>
    </row>
    <row r="83" spans="1:9" x14ac:dyDescent="0.25">
      <c r="A83" s="2" t="s">
        <v>115</v>
      </c>
      <c r="B83" s="2" t="s">
        <v>59</v>
      </c>
      <c r="C83" s="2" t="s">
        <v>19</v>
      </c>
      <c r="D83" s="3">
        <v>19.09</v>
      </c>
      <c r="E83" s="11">
        <v>8</v>
      </c>
      <c r="F83" s="9">
        <v>2</v>
      </c>
      <c r="G83" s="2">
        <v>1</v>
      </c>
      <c r="H8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83" s="19">
        <f>Clients[[#This Row],[Facture_Mensuelle]]*Clients[[#This Row],[Remise]]</f>
        <v>0</v>
      </c>
    </row>
    <row r="84" spans="1:9" x14ac:dyDescent="0.25">
      <c r="A84" s="2" t="s">
        <v>116</v>
      </c>
      <c r="B84" s="2" t="s">
        <v>46</v>
      </c>
      <c r="C84" s="2" t="s">
        <v>7</v>
      </c>
      <c r="D84" s="3">
        <v>66.680000000000007</v>
      </c>
      <c r="E84" s="11">
        <v>4</v>
      </c>
      <c r="F84" s="9">
        <v>0</v>
      </c>
      <c r="G84" s="2">
        <v>5</v>
      </c>
      <c r="H8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84" s="19">
        <f>Clients[[#This Row],[Facture_Mensuelle]]*Clients[[#This Row],[Remise]]</f>
        <v>0</v>
      </c>
    </row>
    <row r="85" spans="1:9" x14ac:dyDescent="0.25">
      <c r="A85" s="2" t="s">
        <v>117</v>
      </c>
      <c r="B85" s="2" t="s">
        <v>12</v>
      </c>
      <c r="C85" s="2" t="s">
        <v>13</v>
      </c>
      <c r="D85" s="3">
        <v>25.98</v>
      </c>
      <c r="E85" s="11">
        <v>10</v>
      </c>
      <c r="F85" s="9">
        <v>8</v>
      </c>
      <c r="G85" s="2">
        <v>4</v>
      </c>
      <c r="H8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85" s="19">
        <f>Clients[[#This Row],[Facture_Mensuelle]]*Clients[[#This Row],[Remise]]</f>
        <v>11.691000000000001</v>
      </c>
    </row>
    <row r="86" spans="1:9" x14ac:dyDescent="0.25">
      <c r="A86" s="2" t="s">
        <v>118</v>
      </c>
      <c r="B86" s="2" t="s">
        <v>9</v>
      </c>
      <c r="C86" s="2" t="s">
        <v>7</v>
      </c>
      <c r="D86" s="3">
        <v>42.33</v>
      </c>
      <c r="E86" s="11">
        <v>3</v>
      </c>
      <c r="F86" s="9">
        <v>7</v>
      </c>
      <c r="G86" s="2">
        <v>3</v>
      </c>
      <c r="H8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86" s="19">
        <f>Clients[[#This Row],[Facture_Mensuelle]]*Clients[[#This Row],[Remise]]</f>
        <v>19.048500000000001</v>
      </c>
    </row>
    <row r="87" spans="1:9" x14ac:dyDescent="0.25">
      <c r="A87" s="2" t="s">
        <v>119</v>
      </c>
      <c r="B87" s="2" t="s">
        <v>6</v>
      </c>
      <c r="C87" s="2" t="s">
        <v>7</v>
      </c>
      <c r="D87" s="3">
        <v>69.42</v>
      </c>
      <c r="E87" s="11">
        <v>4</v>
      </c>
      <c r="F87" s="9">
        <v>4</v>
      </c>
      <c r="G87" s="2">
        <v>0</v>
      </c>
      <c r="H8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87" s="19">
        <f>Clients[[#This Row],[Facture_Mensuelle]]*Clients[[#This Row],[Remise]]</f>
        <v>31.239000000000001</v>
      </c>
    </row>
    <row r="88" spans="1:9" x14ac:dyDescent="0.25">
      <c r="A88" s="2" t="s">
        <v>120</v>
      </c>
      <c r="B88" s="2" t="s">
        <v>38</v>
      </c>
      <c r="C88" s="2" t="s">
        <v>13</v>
      </c>
      <c r="D88" s="3">
        <v>31.02</v>
      </c>
      <c r="E88" s="11">
        <v>4</v>
      </c>
      <c r="F88" s="9">
        <v>6</v>
      </c>
      <c r="G88" s="2">
        <v>5</v>
      </c>
      <c r="H8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88" s="19">
        <f>Clients[[#This Row],[Facture_Mensuelle]]*Clients[[#This Row],[Remise]]</f>
        <v>13.959</v>
      </c>
    </row>
    <row r="89" spans="1:9" x14ac:dyDescent="0.25">
      <c r="A89" s="2" t="s">
        <v>121</v>
      </c>
      <c r="B89" s="2" t="s">
        <v>62</v>
      </c>
      <c r="C89" s="2" t="s">
        <v>19</v>
      </c>
      <c r="D89" s="3">
        <v>97.25</v>
      </c>
      <c r="E89" s="11">
        <v>4</v>
      </c>
      <c r="F89" s="9">
        <v>7</v>
      </c>
      <c r="G89" s="2">
        <v>0</v>
      </c>
      <c r="H8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89" s="19">
        <f>Clients[[#This Row],[Facture_Mensuelle]]*Clients[[#This Row],[Remise]]</f>
        <v>43.762500000000003</v>
      </c>
    </row>
    <row r="90" spans="1:9" x14ac:dyDescent="0.25">
      <c r="A90" s="2" t="s">
        <v>122</v>
      </c>
      <c r="B90" s="2" t="s">
        <v>57</v>
      </c>
      <c r="C90" s="2" t="s">
        <v>7</v>
      </c>
      <c r="D90" s="3">
        <v>25.14</v>
      </c>
      <c r="E90" s="11">
        <v>2</v>
      </c>
      <c r="F90" s="9">
        <v>0</v>
      </c>
      <c r="G90" s="2">
        <v>0</v>
      </c>
      <c r="H9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90" s="19">
        <f>Clients[[#This Row],[Facture_Mensuelle]]*Clients[[#This Row],[Remise]]</f>
        <v>0</v>
      </c>
    </row>
    <row r="91" spans="1:9" x14ac:dyDescent="0.25">
      <c r="A91" s="2" t="s">
        <v>123</v>
      </c>
      <c r="B91" s="2" t="s">
        <v>65</v>
      </c>
      <c r="C91" s="2" t="s">
        <v>7</v>
      </c>
      <c r="D91" s="3">
        <v>72.39</v>
      </c>
      <c r="E91" s="11">
        <v>4</v>
      </c>
      <c r="F91" s="9">
        <v>3</v>
      </c>
      <c r="G91" s="2">
        <v>2</v>
      </c>
      <c r="H9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91" s="19">
        <f>Clients[[#This Row],[Facture_Mensuelle]]*Clients[[#This Row],[Remise]]</f>
        <v>0</v>
      </c>
    </row>
    <row r="92" spans="1:9" x14ac:dyDescent="0.25">
      <c r="A92" s="2" t="s">
        <v>124</v>
      </c>
      <c r="B92" s="2" t="s">
        <v>30</v>
      </c>
      <c r="C92" s="2" t="s">
        <v>10</v>
      </c>
      <c r="D92" s="3">
        <v>32.58</v>
      </c>
      <c r="E92" s="11">
        <v>4</v>
      </c>
      <c r="F92" s="9">
        <v>2</v>
      </c>
      <c r="G92" s="2">
        <v>0</v>
      </c>
      <c r="H9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92" s="19">
        <f>Clients[[#This Row],[Facture_Mensuelle]]*Clients[[#This Row],[Remise]]</f>
        <v>3.258</v>
      </c>
    </row>
    <row r="93" spans="1:9" x14ac:dyDescent="0.25">
      <c r="A93" s="2" t="s">
        <v>125</v>
      </c>
      <c r="B93" s="2" t="s">
        <v>22</v>
      </c>
      <c r="C93" s="2" t="s">
        <v>10</v>
      </c>
      <c r="D93" s="3">
        <v>94.9</v>
      </c>
      <c r="E93" s="11">
        <v>8</v>
      </c>
      <c r="F93" s="9">
        <v>2</v>
      </c>
      <c r="G93" s="2">
        <v>4</v>
      </c>
      <c r="H9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93" s="19">
        <f>Clients[[#This Row],[Facture_Mensuelle]]*Clients[[#This Row],[Remise]]</f>
        <v>9.49</v>
      </c>
    </row>
    <row r="94" spans="1:9" x14ac:dyDescent="0.25">
      <c r="A94" s="2" t="s">
        <v>126</v>
      </c>
      <c r="B94" s="2" t="s">
        <v>32</v>
      </c>
      <c r="C94" s="2" t="s">
        <v>10</v>
      </c>
      <c r="D94" s="3">
        <v>37.08</v>
      </c>
      <c r="E94" s="11">
        <v>5</v>
      </c>
      <c r="F94" s="9">
        <v>7</v>
      </c>
      <c r="G94" s="2">
        <v>0</v>
      </c>
      <c r="H9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94" s="19">
        <f>Clients[[#This Row],[Facture_Mensuelle]]*Clients[[#This Row],[Remise]]</f>
        <v>16.686</v>
      </c>
    </row>
    <row r="95" spans="1:9" x14ac:dyDescent="0.25">
      <c r="A95" s="2" t="s">
        <v>127</v>
      </c>
      <c r="B95" s="2" t="s">
        <v>30</v>
      </c>
      <c r="C95" s="2" t="s">
        <v>13</v>
      </c>
      <c r="D95" s="3">
        <v>27.06</v>
      </c>
      <c r="E95" s="11">
        <v>2</v>
      </c>
      <c r="F95" s="9">
        <v>7</v>
      </c>
      <c r="G95" s="2">
        <v>1</v>
      </c>
      <c r="H9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95" s="19">
        <f>Clients[[#This Row],[Facture_Mensuelle]]*Clients[[#This Row],[Remise]]</f>
        <v>12.177</v>
      </c>
    </row>
    <row r="96" spans="1:9" x14ac:dyDescent="0.25">
      <c r="A96" s="2" t="s">
        <v>128</v>
      </c>
      <c r="B96" s="2" t="s">
        <v>6</v>
      </c>
      <c r="C96" s="2" t="s">
        <v>7</v>
      </c>
      <c r="D96" s="3">
        <v>72.36</v>
      </c>
      <c r="E96" s="11">
        <v>1</v>
      </c>
      <c r="F96" s="9">
        <v>0</v>
      </c>
      <c r="G96" s="2">
        <v>2</v>
      </c>
      <c r="H9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96" s="19">
        <f>Clients[[#This Row],[Facture_Mensuelle]]*Clients[[#This Row],[Remise]]</f>
        <v>0</v>
      </c>
    </row>
    <row r="97" spans="1:9" x14ac:dyDescent="0.25">
      <c r="A97" s="2" t="s">
        <v>129</v>
      </c>
      <c r="B97" s="2" t="s">
        <v>46</v>
      </c>
      <c r="C97" s="2" t="s">
        <v>7</v>
      </c>
      <c r="D97" s="3">
        <v>76.53</v>
      </c>
      <c r="E97" s="11">
        <v>1</v>
      </c>
      <c r="F97" s="9">
        <v>1</v>
      </c>
      <c r="G97" s="2">
        <v>5</v>
      </c>
      <c r="H9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97" s="19">
        <f>Clients[[#This Row],[Facture_Mensuelle]]*Clients[[#This Row],[Remise]]</f>
        <v>0</v>
      </c>
    </row>
    <row r="98" spans="1:9" x14ac:dyDescent="0.25">
      <c r="A98" s="2" t="s">
        <v>130</v>
      </c>
      <c r="B98" s="2" t="s">
        <v>97</v>
      </c>
      <c r="C98" s="2" t="s">
        <v>7</v>
      </c>
      <c r="D98" s="3">
        <v>43.98</v>
      </c>
      <c r="E98" s="11">
        <v>5</v>
      </c>
      <c r="F98" s="9">
        <v>8</v>
      </c>
      <c r="G98" s="2">
        <v>3</v>
      </c>
      <c r="H9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98" s="19">
        <f>Clients[[#This Row],[Facture_Mensuelle]]*Clients[[#This Row],[Remise]]</f>
        <v>19.791</v>
      </c>
    </row>
    <row r="99" spans="1:9" x14ac:dyDescent="0.25">
      <c r="A99" s="2" t="s">
        <v>131</v>
      </c>
      <c r="B99" s="2" t="s">
        <v>72</v>
      </c>
      <c r="C99" s="2" t="s">
        <v>7</v>
      </c>
      <c r="D99" s="3">
        <v>17.63</v>
      </c>
      <c r="E99" s="11">
        <v>3</v>
      </c>
      <c r="F99" s="9">
        <v>1</v>
      </c>
      <c r="G99" s="2">
        <v>0</v>
      </c>
      <c r="H9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99" s="19">
        <f>Clients[[#This Row],[Facture_Mensuelle]]*Clients[[#This Row],[Remise]]</f>
        <v>0</v>
      </c>
    </row>
    <row r="100" spans="1:9" x14ac:dyDescent="0.25">
      <c r="A100" s="2" t="s">
        <v>132</v>
      </c>
      <c r="B100" s="2" t="s">
        <v>46</v>
      </c>
      <c r="C100" s="2" t="s">
        <v>13</v>
      </c>
      <c r="D100" s="3">
        <v>96.91</v>
      </c>
      <c r="E100" s="11">
        <v>2</v>
      </c>
      <c r="F100" s="9">
        <v>6</v>
      </c>
      <c r="G100" s="2">
        <v>1</v>
      </c>
      <c r="H10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0" s="19">
        <f>Clients[[#This Row],[Facture_Mensuelle]]*Clients[[#This Row],[Remise]]</f>
        <v>43.609499999999997</v>
      </c>
    </row>
    <row r="101" spans="1:9" x14ac:dyDescent="0.25">
      <c r="A101" s="2" t="s">
        <v>133</v>
      </c>
      <c r="B101" s="2" t="s">
        <v>65</v>
      </c>
      <c r="C101" s="2" t="s">
        <v>10</v>
      </c>
      <c r="D101" s="3">
        <v>86.22</v>
      </c>
      <c r="E101" s="11">
        <v>9</v>
      </c>
      <c r="F101" s="9">
        <v>1</v>
      </c>
      <c r="G101" s="2">
        <v>3</v>
      </c>
      <c r="H10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01" s="19">
        <f>Clients[[#This Row],[Facture_Mensuelle]]*Clients[[#This Row],[Remise]]</f>
        <v>8.6219999999999999</v>
      </c>
    </row>
    <row r="102" spans="1:9" x14ac:dyDescent="0.25">
      <c r="A102" s="2" t="s">
        <v>134</v>
      </c>
      <c r="B102" s="2" t="s">
        <v>12</v>
      </c>
      <c r="C102" s="2" t="s">
        <v>10</v>
      </c>
      <c r="D102" s="3">
        <v>37.979999999999997</v>
      </c>
      <c r="E102" s="11">
        <v>3</v>
      </c>
      <c r="F102" s="9">
        <v>2</v>
      </c>
      <c r="G102" s="2">
        <v>4</v>
      </c>
      <c r="H10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02" s="19">
        <f>Clients[[#This Row],[Facture_Mensuelle]]*Clients[[#This Row],[Remise]]</f>
        <v>3.798</v>
      </c>
    </row>
    <row r="103" spans="1:9" x14ac:dyDescent="0.25">
      <c r="A103" s="2" t="s">
        <v>135</v>
      </c>
      <c r="B103" s="2" t="s">
        <v>42</v>
      </c>
      <c r="C103" s="2" t="s">
        <v>10</v>
      </c>
      <c r="D103" s="3">
        <v>62.87</v>
      </c>
      <c r="E103" s="11">
        <v>4</v>
      </c>
      <c r="F103" s="9">
        <v>4</v>
      </c>
      <c r="G103" s="2">
        <v>0</v>
      </c>
      <c r="H10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3" s="19">
        <f>Clients[[#This Row],[Facture_Mensuelle]]*Clients[[#This Row],[Remise]]</f>
        <v>28.291499999999999</v>
      </c>
    </row>
    <row r="104" spans="1:9" x14ac:dyDescent="0.25">
      <c r="A104" s="2" t="s">
        <v>136</v>
      </c>
      <c r="B104" s="2" t="s">
        <v>48</v>
      </c>
      <c r="C104" s="2" t="s">
        <v>13</v>
      </c>
      <c r="D104" s="3">
        <v>12.11</v>
      </c>
      <c r="E104" s="11">
        <v>9</v>
      </c>
      <c r="F104" s="9">
        <v>6</v>
      </c>
      <c r="G104" s="2">
        <v>0</v>
      </c>
      <c r="H10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4" s="19">
        <f>Clients[[#This Row],[Facture_Mensuelle]]*Clients[[#This Row],[Remise]]</f>
        <v>5.4494999999999996</v>
      </c>
    </row>
    <row r="105" spans="1:9" x14ac:dyDescent="0.25">
      <c r="A105" s="2" t="s">
        <v>137</v>
      </c>
      <c r="B105" s="2" t="s">
        <v>59</v>
      </c>
      <c r="C105" s="2" t="s">
        <v>19</v>
      </c>
      <c r="D105" s="3">
        <v>48.31</v>
      </c>
      <c r="E105" s="11">
        <v>2</v>
      </c>
      <c r="F105" s="9">
        <v>6</v>
      </c>
      <c r="G105" s="2">
        <v>0</v>
      </c>
      <c r="H10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5" s="19">
        <f>Clients[[#This Row],[Facture_Mensuelle]]*Clients[[#This Row],[Remise]]</f>
        <v>21.739500000000003</v>
      </c>
    </row>
    <row r="106" spans="1:9" x14ac:dyDescent="0.25">
      <c r="A106" s="2" t="s">
        <v>138</v>
      </c>
      <c r="B106" s="2" t="s">
        <v>9</v>
      </c>
      <c r="C106" s="2" t="s">
        <v>10</v>
      </c>
      <c r="D106" s="3">
        <v>41.84</v>
      </c>
      <c r="E106" s="11">
        <v>1</v>
      </c>
      <c r="F106" s="9">
        <v>6</v>
      </c>
      <c r="G106" s="2">
        <v>2</v>
      </c>
      <c r="H10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6" s="19">
        <f>Clients[[#This Row],[Facture_Mensuelle]]*Clients[[#This Row],[Remise]]</f>
        <v>18.828000000000003</v>
      </c>
    </row>
    <row r="107" spans="1:9" x14ac:dyDescent="0.25">
      <c r="A107" s="2" t="s">
        <v>139</v>
      </c>
      <c r="B107" s="2" t="s">
        <v>72</v>
      </c>
      <c r="C107" s="2" t="s">
        <v>10</v>
      </c>
      <c r="D107" s="3">
        <v>28.98</v>
      </c>
      <c r="E107" s="11">
        <v>8</v>
      </c>
      <c r="F107" s="9">
        <v>5</v>
      </c>
      <c r="G107" s="2">
        <v>3</v>
      </c>
      <c r="H10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7" s="19">
        <f>Clients[[#This Row],[Facture_Mensuelle]]*Clients[[#This Row],[Remise]]</f>
        <v>13.041</v>
      </c>
    </row>
    <row r="108" spans="1:9" x14ac:dyDescent="0.25">
      <c r="A108" s="2" t="s">
        <v>140</v>
      </c>
      <c r="B108" s="2" t="s">
        <v>48</v>
      </c>
      <c r="C108" s="2" t="s">
        <v>10</v>
      </c>
      <c r="D108" s="3">
        <v>64.3</v>
      </c>
      <c r="E108" s="11">
        <v>7</v>
      </c>
      <c r="F108" s="9">
        <v>8</v>
      </c>
      <c r="G108" s="2">
        <v>2</v>
      </c>
      <c r="H10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8" s="19">
        <f>Clients[[#This Row],[Facture_Mensuelle]]*Clients[[#This Row],[Remise]]</f>
        <v>28.934999999999999</v>
      </c>
    </row>
    <row r="109" spans="1:9" x14ac:dyDescent="0.25">
      <c r="A109" s="2" t="s">
        <v>141</v>
      </c>
      <c r="B109" s="2" t="s">
        <v>24</v>
      </c>
      <c r="C109" s="2" t="s">
        <v>19</v>
      </c>
      <c r="D109" s="3">
        <v>28.39</v>
      </c>
      <c r="E109" s="11">
        <v>6</v>
      </c>
      <c r="F109" s="9">
        <v>7</v>
      </c>
      <c r="G109" s="2">
        <v>3</v>
      </c>
      <c r="H10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09" s="19">
        <f>Clients[[#This Row],[Facture_Mensuelle]]*Clients[[#This Row],[Remise]]</f>
        <v>12.775500000000001</v>
      </c>
    </row>
    <row r="110" spans="1:9" x14ac:dyDescent="0.25">
      <c r="A110" s="2" t="s">
        <v>142</v>
      </c>
      <c r="B110" s="2" t="s">
        <v>12</v>
      </c>
      <c r="C110" s="2" t="s">
        <v>10</v>
      </c>
      <c r="D110" s="3">
        <v>15.71</v>
      </c>
      <c r="E110" s="11">
        <v>0</v>
      </c>
      <c r="F110" s="9">
        <v>8</v>
      </c>
      <c r="G110" s="2">
        <v>3</v>
      </c>
      <c r="H11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10" s="19">
        <f>Clients[[#This Row],[Facture_Mensuelle]]*Clients[[#This Row],[Remise]]</f>
        <v>7.0695000000000006</v>
      </c>
    </row>
    <row r="111" spans="1:9" x14ac:dyDescent="0.25">
      <c r="A111" s="2" t="s">
        <v>143</v>
      </c>
      <c r="B111" s="2" t="s">
        <v>30</v>
      </c>
      <c r="C111" s="2" t="s">
        <v>10</v>
      </c>
      <c r="D111" s="3">
        <v>61.27</v>
      </c>
      <c r="E111" s="11">
        <v>4</v>
      </c>
      <c r="F111" s="9">
        <v>5</v>
      </c>
      <c r="G111" s="2">
        <v>3</v>
      </c>
      <c r="H11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11" s="19">
        <f>Clients[[#This Row],[Facture_Mensuelle]]*Clients[[#This Row],[Remise]]</f>
        <v>27.5715</v>
      </c>
    </row>
    <row r="112" spans="1:9" x14ac:dyDescent="0.25">
      <c r="A112" s="2" t="s">
        <v>144</v>
      </c>
      <c r="B112" s="2" t="s">
        <v>69</v>
      </c>
      <c r="C112" s="2" t="s">
        <v>13</v>
      </c>
      <c r="D112" s="3">
        <v>62.49</v>
      </c>
      <c r="E112" s="11">
        <v>3</v>
      </c>
      <c r="F112" s="9">
        <v>3</v>
      </c>
      <c r="G112" s="2">
        <v>3</v>
      </c>
      <c r="H11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12" s="19">
        <f>Clients[[#This Row],[Facture_Mensuelle]]*Clients[[#This Row],[Remise]]</f>
        <v>0</v>
      </c>
    </row>
    <row r="113" spans="1:9" x14ac:dyDescent="0.25">
      <c r="A113" s="2" t="s">
        <v>145</v>
      </c>
      <c r="B113" s="2" t="s">
        <v>48</v>
      </c>
      <c r="C113" s="2" t="s">
        <v>7</v>
      </c>
      <c r="D113" s="3">
        <v>32.369999999999997</v>
      </c>
      <c r="E113" s="11">
        <v>7</v>
      </c>
      <c r="F113" s="9">
        <v>3</v>
      </c>
      <c r="G113" s="2">
        <v>1</v>
      </c>
      <c r="H11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13" s="19">
        <f>Clients[[#This Row],[Facture_Mensuelle]]*Clients[[#This Row],[Remise]]</f>
        <v>0</v>
      </c>
    </row>
    <row r="114" spans="1:9" x14ac:dyDescent="0.25">
      <c r="A114" s="2" t="s">
        <v>146</v>
      </c>
      <c r="B114" s="2" t="s">
        <v>48</v>
      </c>
      <c r="C114" s="2" t="s">
        <v>19</v>
      </c>
      <c r="D114" s="3">
        <v>75.739999999999995</v>
      </c>
      <c r="E114" s="11">
        <v>0</v>
      </c>
      <c r="F114" s="9">
        <v>6</v>
      </c>
      <c r="G114" s="2">
        <v>4</v>
      </c>
      <c r="H11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14" s="19">
        <f>Clients[[#This Row],[Facture_Mensuelle]]*Clients[[#This Row],[Remise]]</f>
        <v>34.082999999999998</v>
      </c>
    </row>
    <row r="115" spans="1:9" x14ac:dyDescent="0.25">
      <c r="A115" s="2" t="s">
        <v>147</v>
      </c>
      <c r="B115" s="2" t="s">
        <v>9</v>
      </c>
      <c r="C115" s="2" t="s">
        <v>19</v>
      </c>
      <c r="D115" s="3">
        <v>48.91</v>
      </c>
      <c r="E115" s="11">
        <v>9</v>
      </c>
      <c r="F115" s="9">
        <v>1</v>
      </c>
      <c r="G115" s="2">
        <v>5</v>
      </c>
      <c r="H11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15" s="19">
        <f>Clients[[#This Row],[Facture_Mensuelle]]*Clients[[#This Row],[Remise]]</f>
        <v>0</v>
      </c>
    </row>
    <row r="116" spans="1:9" x14ac:dyDescent="0.25">
      <c r="A116" s="2" t="s">
        <v>148</v>
      </c>
      <c r="B116" s="2" t="s">
        <v>42</v>
      </c>
      <c r="C116" s="2" t="s">
        <v>10</v>
      </c>
      <c r="D116" s="3">
        <v>84.45</v>
      </c>
      <c r="E116" s="11">
        <v>2</v>
      </c>
      <c r="F116" s="9">
        <v>2</v>
      </c>
      <c r="G116" s="2">
        <v>0</v>
      </c>
      <c r="H11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16" s="19">
        <f>Clients[[#This Row],[Facture_Mensuelle]]*Clients[[#This Row],[Remise]]</f>
        <v>8.4450000000000003</v>
      </c>
    </row>
    <row r="117" spans="1:9" x14ac:dyDescent="0.25">
      <c r="A117" s="2" t="s">
        <v>149</v>
      </c>
      <c r="B117" s="2" t="s">
        <v>48</v>
      </c>
      <c r="C117" s="2" t="s">
        <v>19</v>
      </c>
      <c r="D117" s="3">
        <v>50.44</v>
      </c>
      <c r="E117" s="11">
        <v>3</v>
      </c>
      <c r="F117" s="9">
        <v>2</v>
      </c>
      <c r="G117" s="2">
        <v>4</v>
      </c>
      <c r="H11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17" s="19">
        <f>Clients[[#This Row],[Facture_Mensuelle]]*Clients[[#This Row],[Remise]]</f>
        <v>22.698</v>
      </c>
    </row>
    <row r="118" spans="1:9" x14ac:dyDescent="0.25">
      <c r="A118" s="2" t="s">
        <v>150</v>
      </c>
      <c r="B118" s="2" t="s">
        <v>38</v>
      </c>
      <c r="C118" s="2" t="s">
        <v>13</v>
      </c>
      <c r="D118" s="3">
        <v>28.52</v>
      </c>
      <c r="E118" s="11">
        <v>6</v>
      </c>
      <c r="F118" s="9">
        <v>1</v>
      </c>
      <c r="G118" s="2">
        <v>4</v>
      </c>
      <c r="H11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18" s="19">
        <f>Clients[[#This Row],[Facture_Mensuelle]]*Clients[[#This Row],[Remise]]</f>
        <v>0</v>
      </c>
    </row>
    <row r="119" spans="1:9" x14ac:dyDescent="0.25">
      <c r="A119" s="2" t="s">
        <v>151</v>
      </c>
      <c r="B119" s="2" t="s">
        <v>12</v>
      </c>
      <c r="C119" s="2" t="s">
        <v>13</v>
      </c>
      <c r="D119" s="3">
        <v>43.71</v>
      </c>
      <c r="E119" s="11">
        <v>2</v>
      </c>
      <c r="F119" s="9">
        <v>1</v>
      </c>
      <c r="G119" s="2">
        <v>1</v>
      </c>
      <c r="H11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19" s="19">
        <f>Clients[[#This Row],[Facture_Mensuelle]]*Clients[[#This Row],[Remise]]</f>
        <v>0</v>
      </c>
    </row>
    <row r="120" spans="1:9" x14ac:dyDescent="0.25">
      <c r="A120" s="2" t="s">
        <v>152</v>
      </c>
      <c r="B120" s="2" t="s">
        <v>44</v>
      </c>
      <c r="C120" s="2" t="s">
        <v>13</v>
      </c>
      <c r="D120" s="3">
        <v>40.659999999999997</v>
      </c>
      <c r="E120" s="11">
        <v>0</v>
      </c>
      <c r="F120" s="9">
        <v>3</v>
      </c>
      <c r="G120" s="2">
        <v>1</v>
      </c>
      <c r="H12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20" s="19">
        <f>Clients[[#This Row],[Facture_Mensuelle]]*Clients[[#This Row],[Remise]]</f>
        <v>0</v>
      </c>
    </row>
    <row r="121" spans="1:9" x14ac:dyDescent="0.25">
      <c r="A121" s="2" t="s">
        <v>153</v>
      </c>
      <c r="B121" s="2" t="s">
        <v>32</v>
      </c>
      <c r="C121" s="2" t="s">
        <v>10</v>
      </c>
      <c r="D121" s="3">
        <v>58.38</v>
      </c>
      <c r="E121" s="11">
        <v>8</v>
      </c>
      <c r="F121" s="9">
        <v>8</v>
      </c>
      <c r="G121" s="2">
        <v>1</v>
      </c>
      <c r="H12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21" s="19">
        <f>Clients[[#This Row],[Facture_Mensuelle]]*Clients[[#This Row],[Remise]]</f>
        <v>26.271000000000001</v>
      </c>
    </row>
    <row r="122" spans="1:9" x14ac:dyDescent="0.25">
      <c r="A122" s="2" t="s">
        <v>154</v>
      </c>
      <c r="B122" s="2" t="s">
        <v>9</v>
      </c>
      <c r="C122" s="2" t="s">
        <v>19</v>
      </c>
      <c r="D122" s="3">
        <v>82.7</v>
      </c>
      <c r="E122" s="11">
        <v>5</v>
      </c>
      <c r="F122" s="9">
        <v>1</v>
      </c>
      <c r="G122" s="2">
        <v>2</v>
      </c>
      <c r="H12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22" s="19">
        <f>Clients[[#This Row],[Facture_Mensuelle]]*Clients[[#This Row],[Remise]]</f>
        <v>0</v>
      </c>
    </row>
    <row r="123" spans="1:9" x14ac:dyDescent="0.25">
      <c r="A123" s="2" t="s">
        <v>155</v>
      </c>
      <c r="B123" s="2" t="s">
        <v>156</v>
      </c>
      <c r="C123" s="2" t="s">
        <v>10</v>
      </c>
      <c r="D123" s="3">
        <v>46.57</v>
      </c>
      <c r="E123" s="11">
        <v>1</v>
      </c>
      <c r="F123" s="9">
        <v>4</v>
      </c>
      <c r="G123" s="2">
        <v>5</v>
      </c>
      <c r="H12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23" s="19">
        <f>Clients[[#This Row],[Facture_Mensuelle]]*Clients[[#This Row],[Remise]]</f>
        <v>20.956500000000002</v>
      </c>
    </row>
    <row r="124" spans="1:9" x14ac:dyDescent="0.25">
      <c r="A124" s="2" t="s">
        <v>157</v>
      </c>
      <c r="B124" s="2" t="s">
        <v>57</v>
      </c>
      <c r="C124" s="2" t="s">
        <v>10</v>
      </c>
      <c r="D124" s="3">
        <v>28.55</v>
      </c>
      <c r="E124" s="11">
        <v>2</v>
      </c>
      <c r="F124" s="9">
        <v>0</v>
      </c>
      <c r="G124" s="2">
        <v>1</v>
      </c>
      <c r="H12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24" s="19">
        <f>Clients[[#This Row],[Facture_Mensuelle]]*Clients[[#This Row],[Remise]]</f>
        <v>2.8550000000000004</v>
      </c>
    </row>
    <row r="125" spans="1:9" x14ac:dyDescent="0.25">
      <c r="A125" s="2" t="s">
        <v>158</v>
      </c>
      <c r="B125" s="2" t="s">
        <v>44</v>
      </c>
      <c r="C125" s="2" t="s">
        <v>13</v>
      </c>
      <c r="D125" s="3">
        <v>36.54</v>
      </c>
      <c r="E125" s="11">
        <v>3</v>
      </c>
      <c r="F125" s="9">
        <v>8</v>
      </c>
      <c r="G125" s="2">
        <v>3</v>
      </c>
      <c r="H12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25" s="19">
        <f>Clients[[#This Row],[Facture_Mensuelle]]*Clients[[#This Row],[Remise]]</f>
        <v>16.443000000000001</v>
      </c>
    </row>
    <row r="126" spans="1:9" x14ac:dyDescent="0.25">
      <c r="A126" s="2" t="s">
        <v>159</v>
      </c>
      <c r="B126" s="2" t="s">
        <v>48</v>
      </c>
      <c r="C126" s="2" t="s">
        <v>10</v>
      </c>
      <c r="D126" s="3">
        <v>65.540000000000006</v>
      </c>
      <c r="E126" s="11">
        <v>4</v>
      </c>
      <c r="F126" s="9">
        <v>5</v>
      </c>
      <c r="G126" s="2">
        <v>2</v>
      </c>
      <c r="H12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26" s="19">
        <f>Clients[[#This Row],[Facture_Mensuelle]]*Clients[[#This Row],[Remise]]</f>
        <v>29.493000000000002</v>
      </c>
    </row>
    <row r="127" spans="1:9" x14ac:dyDescent="0.25">
      <c r="A127" s="2" t="s">
        <v>160</v>
      </c>
      <c r="B127" s="2" t="s">
        <v>34</v>
      </c>
      <c r="C127" s="2" t="s">
        <v>7</v>
      </c>
      <c r="D127" s="3">
        <v>89.3</v>
      </c>
      <c r="E127" s="11">
        <v>2</v>
      </c>
      <c r="F127" s="9">
        <v>0</v>
      </c>
      <c r="G127" s="2">
        <v>2</v>
      </c>
      <c r="H12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27" s="19">
        <f>Clients[[#This Row],[Facture_Mensuelle]]*Clients[[#This Row],[Remise]]</f>
        <v>0</v>
      </c>
    </row>
    <row r="128" spans="1:9" x14ac:dyDescent="0.25">
      <c r="A128" s="2" t="s">
        <v>161</v>
      </c>
      <c r="B128" s="2" t="s">
        <v>32</v>
      </c>
      <c r="C128" s="2" t="s">
        <v>7</v>
      </c>
      <c r="D128" s="3">
        <v>85.19</v>
      </c>
      <c r="E128" s="11">
        <v>8</v>
      </c>
      <c r="F128" s="9">
        <v>1</v>
      </c>
      <c r="G128" s="2">
        <v>1</v>
      </c>
      <c r="H12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28" s="19">
        <f>Clients[[#This Row],[Facture_Mensuelle]]*Clients[[#This Row],[Remise]]</f>
        <v>0</v>
      </c>
    </row>
    <row r="129" spans="1:9" x14ac:dyDescent="0.25">
      <c r="A129" s="2" t="s">
        <v>162</v>
      </c>
      <c r="B129" s="2" t="s">
        <v>30</v>
      </c>
      <c r="C129" s="2" t="s">
        <v>7</v>
      </c>
      <c r="D129" s="3">
        <v>69.099999999999994</v>
      </c>
      <c r="E129" s="11">
        <v>6</v>
      </c>
      <c r="F129" s="9">
        <v>8</v>
      </c>
      <c r="G129" s="2">
        <v>5</v>
      </c>
      <c r="H12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29" s="19">
        <f>Clients[[#This Row],[Facture_Mensuelle]]*Clients[[#This Row],[Remise]]</f>
        <v>31.094999999999999</v>
      </c>
    </row>
    <row r="130" spans="1:9" x14ac:dyDescent="0.25">
      <c r="A130" s="2" t="s">
        <v>163</v>
      </c>
      <c r="B130" s="2" t="s">
        <v>28</v>
      </c>
      <c r="C130" s="2" t="s">
        <v>7</v>
      </c>
      <c r="D130" s="3">
        <v>88.29</v>
      </c>
      <c r="E130" s="11">
        <v>1</v>
      </c>
      <c r="F130" s="9">
        <v>2</v>
      </c>
      <c r="G130" s="2">
        <v>5</v>
      </c>
      <c r="H13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30" s="19">
        <f>Clients[[#This Row],[Facture_Mensuelle]]*Clients[[#This Row],[Remise]]</f>
        <v>0</v>
      </c>
    </row>
    <row r="131" spans="1:9" x14ac:dyDescent="0.25">
      <c r="A131" s="2" t="s">
        <v>164</v>
      </c>
      <c r="B131" s="2" t="s">
        <v>38</v>
      </c>
      <c r="C131" s="2" t="s">
        <v>13</v>
      </c>
      <c r="D131" s="3">
        <v>16.93</v>
      </c>
      <c r="E131" s="11">
        <v>6</v>
      </c>
      <c r="F131" s="9">
        <v>2</v>
      </c>
      <c r="G131" s="2">
        <v>5</v>
      </c>
      <c r="H13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31" s="19">
        <f>Clients[[#This Row],[Facture_Mensuelle]]*Clients[[#This Row],[Remise]]</f>
        <v>0</v>
      </c>
    </row>
    <row r="132" spans="1:9" x14ac:dyDescent="0.25">
      <c r="A132" s="2" t="s">
        <v>165</v>
      </c>
      <c r="B132" s="2" t="s">
        <v>156</v>
      </c>
      <c r="C132" s="2" t="s">
        <v>19</v>
      </c>
      <c r="D132" s="3">
        <v>31.8</v>
      </c>
      <c r="E132" s="11">
        <v>2</v>
      </c>
      <c r="F132" s="9">
        <v>3</v>
      </c>
      <c r="G132" s="2">
        <v>1</v>
      </c>
      <c r="H13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32" s="19">
        <f>Clients[[#This Row],[Facture_Mensuelle]]*Clients[[#This Row],[Remise]]</f>
        <v>14.31</v>
      </c>
    </row>
    <row r="133" spans="1:9" x14ac:dyDescent="0.25">
      <c r="A133" s="2" t="s">
        <v>166</v>
      </c>
      <c r="B133" s="2" t="s">
        <v>72</v>
      </c>
      <c r="C133" s="2" t="s">
        <v>7</v>
      </c>
      <c r="D133" s="3">
        <v>82.19</v>
      </c>
      <c r="E133" s="11">
        <v>8</v>
      </c>
      <c r="F133" s="9">
        <v>5</v>
      </c>
      <c r="G133" s="2">
        <v>1</v>
      </c>
      <c r="H13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33" s="19">
        <f>Clients[[#This Row],[Facture_Mensuelle]]*Clients[[#This Row],[Remise]]</f>
        <v>36.985500000000002</v>
      </c>
    </row>
    <row r="134" spans="1:9" x14ac:dyDescent="0.25">
      <c r="A134" s="2" t="s">
        <v>167</v>
      </c>
      <c r="B134" s="2" t="s">
        <v>57</v>
      </c>
      <c r="C134" s="2" t="s">
        <v>13</v>
      </c>
      <c r="D134" s="3">
        <v>75.88</v>
      </c>
      <c r="E134" s="11">
        <v>6</v>
      </c>
      <c r="F134" s="9">
        <v>4</v>
      </c>
      <c r="G134" s="2">
        <v>3</v>
      </c>
      <c r="H13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34" s="19">
        <f>Clients[[#This Row],[Facture_Mensuelle]]*Clients[[#This Row],[Remise]]</f>
        <v>34.146000000000001</v>
      </c>
    </row>
    <row r="135" spans="1:9" x14ac:dyDescent="0.25">
      <c r="A135" s="2" t="s">
        <v>168</v>
      </c>
      <c r="B135" s="2" t="s">
        <v>105</v>
      </c>
      <c r="C135" s="2" t="s">
        <v>10</v>
      </c>
      <c r="D135" s="3">
        <v>23.55</v>
      </c>
      <c r="E135" s="11">
        <v>8</v>
      </c>
      <c r="F135" s="9">
        <v>1</v>
      </c>
      <c r="G135" s="2">
        <v>1</v>
      </c>
      <c r="H13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35" s="19">
        <f>Clients[[#This Row],[Facture_Mensuelle]]*Clients[[#This Row],[Remise]]</f>
        <v>2.355</v>
      </c>
    </row>
    <row r="136" spans="1:9" x14ac:dyDescent="0.25">
      <c r="A136" s="2" t="s">
        <v>169</v>
      </c>
      <c r="B136" s="2" t="s">
        <v>48</v>
      </c>
      <c r="C136" s="2" t="s">
        <v>7</v>
      </c>
      <c r="D136" s="3">
        <v>53.87</v>
      </c>
      <c r="E136" s="11">
        <v>5</v>
      </c>
      <c r="F136" s="9">
        <v>4</v>
      </c>
      <c r="G136" s="2">
        <v>4</v>
      </c>
      <c r="H13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36" s="19">
        <f>Clients[[#This Row],[Facture_Mensuelle]]*Clients[[#This Row],[Remise]]</f>
        <v>24.241499999999998</v>
      </c>
    </row>
    <row r="137" spans="1:9" x14ac:dyDescent="0.25">
      <c r="A137" s="2" t="s">
        <v>170</v>
      </c>
      <c r="B137" s="2" t="s">
        <v>18</v>
      </c>
      <c r="C137" s="2" t="s">
        <v>7</v>
      </c>
      <c r="D137" s="3">
        <v>49.03</v>
      </c>
      <c r="E137" s="11">
        <v>2</v>
      </c>
      <c r="F137" s="9">
        <v>3</v>
      </c>
      <c r="G137" s="2">
        <v>3</v>
      </c>
      <c r="H13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37" s="19">
        <f>Clients[[#This Row],[Facture_Mensuelle]]*Clients[[#This Row],[Remise]]</f>
        <v>0</v>
      </c>
    </row>
    <row r="138" spans="1:9" x14ac:dyDescent="0.25">
      <c r="A138" s="2" t="s">
        <v>171</v>
      </c>
      <c r="B138" s="2" t="s">
        <v>156</v>
      </c>
      <c r="C138" s="2" t="s">
        <v>13</v>
      </c>
      <c r="D138" s="3">
        <v>33.93</v>
      </c>
      <c r="E138" s="11">
        <v>7</v>
      </c>
      <c r="F138" s="9">
        <v>0</v>
      </c>
      <c r="G138" s="2">
        <v>3</v>
      </c>
      <c r="H13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38" s="19">
        <f>Clients[[#This Row],[Facture_Mensuelle]]*Clients[[#This Row],[Remise]]</f>
        <v>0</v>
      </c>
    </row>
    <row r="139" spans="1:9" x14ac:dyDescent="0.25">
      <c r="A139" s="2" t="s">
        <v>172</v>
      </c>
      <c r="B139" s="2" t="s">
        <v>12</v>
      </c>
      <c r="C139" s="2" t="s">
        <v>13</v>
      </c>
      <c r="D139" s="3">
        <v>45.27</v>
      </c>
      <c r="E139" s="11">
        <v>9</v>
      </c>
      <c r="F139" s="9">
        <v>5</v>
      </c>
      <c r="G139" s="2">
        <v>2</v>
      </c>
      <c r="H13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39" s="19">
        <f>Clients[[#This Row],[Facture_Mensuelle]]*Clients[[#This Row],[Remise]]</f>
        <v>20.371500000000001</v>
      </c>
    </row>
    <row r="140" spans="1:9" x14ac:dyDescent="0.25">
      <c r="A140" s="2" t="s">
        <v>173</v>
      </c>
      <c r="B140" s="2" t="s">
        <v>32</v>
      </c>
      <c r="C140" s="2" t="s">
        <v>19</v>
      </c>
      <c r="D140" s="3">
        <v>95.11</v>
      </c>
      <c r="E140" s="11">
        <v>10</v>
      </c>
      <c r="F140" s="9">
        <v>5</v>
      </c>
      <c r="G140" s="2">
        <v>0</v>
      </c>
      <c r="H14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40" s="19">
        <f>Clients[[#This Row],[Facture_Mensuelle]]*Clients[[#This Row],[Remise]]</f>
        <v>42.799500000000002</v>
      </c>
    </row>
    <row r="141" spans="1:9" x14ac:dyDescent="0.25">
      <c r="A141" s="2" t="s">
        <v>174</v>
      </c>
      <c r="B141" s="2" t="s">
        <v>18</v>
      </c>
      <c r="C141" s="2" t="s">
        <v>19</v>
      </c>
      <c r="D141" s="3">
        <v>64.77</v>
      </c>
      <c r="E141" s="11">
        <v>8</v>
      </c>
      <c r="F141" s="9">
        <v>6</v>
      </c>
      <c r="G141" s="2">
        <v>0</v>
      </c>
      <c r="H14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41" s="19">
        <f>Clients[[#This Row],[Facture_Mensuelle]]*Clients[[#This Row],[Remise]]</f>
        <v>29.1465</v>
      </c>
    </row>
    <row r="142" spans="1:9" x14ac:dyDescent="0.25">
      <c r="A142" s="2" t="s">
        <v>175</v>
      </c>
      <c r="B142" s="2" t="s">
        <v>156</v>
      </c>
      <c r="C142" s="2" t="s">
        <v>19</v>
      </c>
      <c r="D142" s="3">
        <v>91.6</v>
      </c>
      <c r="E142" s="11">
        <v>3</v>
      </c>
      <c r="F142" s="9">
        <v>3</v>
      </c>
      <c r="G142" s="2">
        <v>2</v>
      </c>
      <c r="H14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42" s="19">
        <f>Clients[[#This Row],[Facture_Mensuelle]]*Clients[[#This Row],[Remise]]</f>
        <v>41.22</v>
      </c>
    </row>
    <row r="143" spans="1:9" x14ac:dyDescent="0.25">
      <c r="A143" s="2" t="s">
        <v>176</v>
      </c>
      <c r="B143" s="2" t="s">
        <v>46</v>
      </c>
      <c r="C143" s="2" t="s">
        <v>10</v>
      </c>
      <c r="D143" s="3">
        <v>82.81</v>
      </c>
      <c r="E143" s="11">
        <v>1</v>
      </c>
      <c r="F143" s="9">
        <v>5</v>
      </c>
      <c r="G143" s="2">
        <v>5</v>
      </c>
      <c r="H14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43" s="19">
        <f>Clients[[#This Row],[Facture_Mensuelle]]*Clients[[#This Row],[Remise]]</f>
        <v>37.264500000000005</v>
      </c>
    </row>
    <row r="144" spans="1:9" x14ac:dyDescent="0.25">
      <c r="A144" s="2" t="s">
        <v>177</v>
      </c>
      <c r="B144" s="2" t="s">
        <v>62</v>
      </c>
      <c r="C144" s="2" t="s">
        <v>19</v>
      </c>
      <c r="D144" s="3">
        <v>52.91</v>
      </c>
      <c r="E144" s="11">
        <v>3</v>
      </c>
      <c r="F144" s="9">
        <v>4</v>
      </c>
      <c r="G144" s="2">
        <v>0</v>
      </c>
      <c r="H14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44" s="19">
        <f>Clients[[#This Row],[Facture_Mensuelle]]*Clients[[#This Row],[Remise]]</f>
        <v>23.8095</v>
      </c>
    </row>
    <row r="145" spans="1:9" x14ac:dyDescent="0.25">
      <c r="A145" s="2" t="s">
        <v>178</v>
      </c>
      <c r="B145" s="2" t="s">
        <v>59</v>
      </c>
      <c r="C145" s="2" t="s">
        <v>13</v>
      </c>
      <c r="D145" s="3">
        <v>20.32</v>
      </c>
      <c r="E145" s="11">
        <v>5</v>
      </c>
      <c r="F145" s="9">
        <v>1</v>
      </c>
      <c r="G145" s="2">
        <v>0</v>
      </c>
      <c r="H14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45" s="19">
        <f>Clients[[#This Row],[Facture_Mensuelle]]*Clients[[#This Row],[Remise]]</f>
        <v>0</v>
      </c>
    </row>
    <row r="146" spans="1:9" x14ac:dyDescent="0.25">
      <c r="A146" s="2" t="s">
        <v>179</v>
      </c>
      <c r="B146" s="2" t="s">
        <v>57</v>
      </c>
      <c r="C146" s="2" t="s">
        <v>13</v>
      </c>
      <c r="D146" s="3">
        <v>94.51</v>
      </c>
      <c r="E146" s="11">
        <v>2</v>
      </c>
      <c r="F146" s="9">
        <v>2</v>
      </c>
      <c r="G146" s="2">
        <v>3</v>
      </c>
      <c r="H14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46" s="19">
        <f>Clients[[#This Row],[Facture_Mensuelle]]*Clients[[#This Row],[Remise]]</f>
        <v>0</v>
      </c>
    </row>
    <row r="147" spans="1:9" x14ac:dyDescent="0.25">
      <c r="A147" s="2" t="s">
        <v>180</v>
      </c>
      <c r="B147" s="2" t="s">
        <v>18</v>
      </c>
      <c r="C147" s="2" t="s">
        <v>19</v>
      </c>
      <c r="D147" s="3">
        <v>53.58</v>
      </c>
      <c r="E147" s="11">
        <v>6</v>
      </c>
      <c r="F147" s="9">
        <v>4</v>
      </c>
      <c r="G147" s="2">
        <v>5</v>
      </c>
      <c r="H14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47" s="19">
        <f>Clients[[#This Row],[Facture_Mensuelle]]*Clients[[#This Row],[Remise]]</f>
        <v>24.111000000000001</v>
      </c>
    </row>
    <row r="148" spans="1:9" x14ac:dyDescent="0.25">
      <c r="A148" s="2" t="s">
        <v>181</v>
      </c>
      <c r="B148" s="2" t="s">
        <v>32</v>
      </c>
      <c r="C148" s="2" t="s">
        <v>10</v>
      </c>
      <c r="D148" s="3">
        <v>41.35</v>
      </c>
      <c r="E148" s="11">
        <v>0</v>
      </c>
      <c r="F148" s="9">
        <v>1</v>
      </c>
      <c r="G148" s="2">
        <v>5</v>
      </c>
      <c r="H14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48" s="19">
        <f>Clients[[#This Row],[Facture_Mensuelle]]*Clients[[#This Row],[Remise]]</f>
        <v>4.1350000000000007</v>
      </c>
    </row>
    <row r="149" spans="1:9" x14ac:dyDescent="0.25">
      <c r="A149" s="2" t="s">
        <v>182</v>
      </c>
      <c r="B149" s="2" t="s">
        <v>24</v>
      </c>
      <c r="C149" s="2" t="s">
        <v>19</v>
      </c>
      <c r="D149" s="3">
        <v>14.12</v>
      </c>
      <c r="E149" s="11">
        <v>3</v>
      </c>
      <c r="F149" s="9">
        <v>4</v>
      </c>
      <c r="G149" s="2">
        <v>1</v>
      </c>
      <c r="H14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49" s="19">
        <f>Clients[[#This Row],[Facture_Mensuelle]]*Clients[[#This Row],[Remise]]</f>
        <v>6.3540000000000001</v>
      </c>
    </row>
    <row r="150" spans="1:9" x14ac:dyDescent="0.25">
      <c r="A150" s="2" t="s">
        <v>183</v>
      </c>
      <c r="B150" s="2" t="s">
        <v>65</v>
      </c>
      <c r="C150" s="2" t="s">
        <v>19</v>
      </c>
      <c r="D150" s="3">
        <v>81.260000000000005</v>
      </c>
      <c r="E150" s="11">
        <v>4</v>
      </c>
      <c r="F150" s="9">
        <v>7</v>
      </c>
      <c r="G150" s="2">
        <v>5</v>
      </c>
      <c r="H15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50" s="19">
        <f>Clients[[#This Row],[Facture_Mensuelle]]*Clients[[#This Row],[Remise]]</f>
        <v>36.567</v>
      </c>
    </row>
    <row r="151" spans="1:9" x14ac:dyDescent="0.25">
      <c r="A151" s="2" t="s">
        <v>184</v>
      </c>
      <c r="B151" s="2" t="s">
        <v>9</v>
      </c>
      <c r="C151" s="2" t="s">
        <v>10</v>
      </c>
      <c r="D151" s="3">
        <v>65.47</v>
      </c>
      <c r="E151" s="11">
        <v>4</v>
      </c>
      <c r="F151" s="9">
        <v>6</v>
      </c>
      <c r="G151" s="2">
        <v>1</v>
      </c>
      <c r="H15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51" s="19">
        <f>Clients[[#This Row],[Facture_Mensuelle]]*Clients[[#This Row],[Remise]]</f>
        <v>29.461500000000001</v>
      </c>
    </row>
    <row r="152" spans="1:9" x14ac:dyDescent="0.25">
      <c r="A152" s="2" t="s">
        <v>185</v>
      </c>
      <c r="B152" s="2" t="s">
        <v>105</v>
      </c>
      <c r="C152" s="2" t="s">
        <v>10</v>
      </c>
      <c r="D152" s="3">
        <v>52.85</v>
      </c>
      <c r="E152" s="11">
        <v>2</v>
      </c>
      <c r="F152" s="9">
        <v>1</v>
      </c>
      <c r="G152" s="2">
        <v>2</v>
      </c>
      <c r="H15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52" s="19">
        <f>Clients[[#This Row],[Facture_Mensuelle]]*Clients[[#This Row],[Remise]]</f>
        <v>5.2850000000000001</v>
      </c>
    </row>
    <row r="153" spans="1:9" x14ac:dyDescent="0.25">
      <c r="A153" s="2" t="s">
        <v>186</v>
      </c>
      <c r="B153" s="2" t="s">
        <v>22</v>
      </c>
      <c r="C153" s="2" t="s">
        <v>19</v>
      </c>
      <c r="D153" s="3">
        <v>38.1</v>
      </c>
      <c r="E153" s="11">
        <v>8</v>
      </c>
      <c r="F153" s="9">
        <v>7</v>
      </c>
      <c r="G153" s="2">
        <v>3</v>
      </c>
      <c r="H15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53" s="19">
        <f>Clients[[#This Row],[Facture_Mensuelle]]*Clients[[#This Row],[Remise]]</f>
        <v>17.145</v>
      </c>
    </row>
    <row r="154" spans="1:9" x14ac:dyDescent="0.25">
      <c r="A154" s="2" t="s">
        <v>187</v>
      </c>
      <c r="B154" s="2" t="s">
        <v>30</v>
      </c>
      <c r="C154" s="2" t="s">
        <v>7</v>
      </c>
      <c r="D154" s="3">
        <v>81.459999999999994</v>
      </c>
      <c r="E154" s="11">
        <v>7</v>
      </c>
      <c r="F154" s="9">
        <v>0</v>
      </c>
      <c r="G154" s="2">
        <v>3</v>
      </c>
      <c r="H15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54" s="19">
        <f>Clients[[#This Row],[Facture_Mensuelle]]*Clients[[#This Row],[Remise]]</f>
        <v>0</v>
      </c>
    </row>
    <row r="155" spans="1:9" x14ac:dyDescent="0.25">
      <c r="A155" s="2" t="s">
        <v>188</v>
      </c>
      <c r="B155" s="2" t="s">
        <v>30</v>
      </c>
      <c r="C155" s="2" t="s">
        <v>19</v>
      </c>
      <c r="D155" s="3">
        <v>37.909999999999997</v>
      </c>
      <c r="E155" s="11">
        <v>8</v>
      </c>
      <c r="F155" s="9">
        <v>5</v>
      </c>
      <c r="G155" s="2">
        <v>2</v>
      </c>
      <c r="H15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55" s="19">
        <f>Clients[[#This Row],[Facture_Mensuelle]]*Clients[[#This Row],[Remise]]</f>
        <v>17.0595</v>
      </c>
    </row>
    <row r="156" spans="1:9" x14ac:dyDescent="0.25">
      <c r="A156" s="2" t="s">
        <v>189</v>
      </c>
      <c r="B156" s="2" t="s">
        <v>156</v>
      </c>
      <c r="C156" s="2" t="s">
        <v>13</v>
      </c>
      <c r="D156" s="3">
        <v>12.07</v>
      </c>
      <c r="E156" s="11">
        <v>9</v>
      </c>
      <c r="F156" s="9">
        <v>3</v>
      </c>
      <c r="G156" s="2">
        <v>5</v>
      </c>
      <c r="H15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56" s="19">
        <f>Clients[[#This Row],[Facture_Mensuelle]]*Clients[[#This Row],[Remise]]</f>
        <v>0</v>
      </c>
    </row>
    <row r="157" spans="1:9" x14ac:dyDescent="0.25">
      <c r="A157" s="2" t="s">
        <v>190</v>
      </c>
      <c r="B157" s="2" t="s">
        <v>6</v>
      </c>
      <c r="C157" s="2" t="s">
        <v>7</v>
      </c>
      <c r="D157" s="3">
        <v>97.3</v>
      </c>
      <c r="E157" s="11">
        <v>2</v>
      </c>
      <c r="F157" s="9">
        <v>7</v>
      </c>
      <c r="G157" s="2">
        <v>5</v>
      </c>
      <c r="H15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57" s="19">
        <f>Clients[[#This Row],[Facture_Mensuelle]]*Clients[[#This Row],[Remise]]</f>
        <v>43.784999999999997</v>
      </c>
    </row>
    <row r="158" spans="1:9" x14ac:dyDescent="0.25">
      <c r="A158" s="2" t="s">
        <v>191</v>
      </c>
      <c r="B158" s="2" t="s">
        <v>65</v>
      </c>
      <c r="C158" s="2" t="s">
        <v>19</v>
      </c>
      <c r="D158" s="3">
        <v>64.34</v>
      </c>
      <c r="E158" s="11">
        <v>2</v>
      </c>
      <c r="F158" s="9">
        <v>6</v>
      </c>
      <c r="G158" s="2">
        <v>5</v>
      </c>
      <c r="H15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58" s="19">
        <f>Clients[[#This Row],[Facture_Mensuelle]]*Clients[[#This Row],[Remise]]</f>
        <v>28.953000000000003</v>
      </c>
    </row>
    <row r="159" spans="1:9" x14ac:dyDescent="0.25">
      <c r="A159" s="2" t="s">
        <v>192</v>
      </c>
      <c r="B159" s="2" t="s">
        <v>46</v>
      </c>
      <c r="C159" s="2" t="s">
        <v>10</v>
      </c>
      <c r="D159" s="3">
        <v>71.72</v>
      </c>
      <c r="E159" s="11">
        <v>5</v>
      </c>
      <c r="F159" s="9">
        <v>6</v>
      </c>
      <c r="G159" s="2">
        <v>3</v>
      </c>
      <c r="H15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59" s="19">
        <f>Clients[[#This Row],[Facture_Mensuelle]]*Clients[[#This Row],[Remise]]</f>
        <v>32.274000000000001</v>
      </c>
    </row>
    <row r="160" spans="1:9" x14ac:dyDescent="0.25">
      <c r="A160" s="2" t="s">
        <v>193</v>
      </c>
      <c r="B160" s="2" t="s">
        <v>42</v>
      </c>
      <c r="C160" s="2" t="s">
        <v>13</v>
      </c>
      <c r="D160" s="3">
        <v>45.02</v>
      </c>
      <c r="E160" s="11">
        <v>3</v>
      </c>
      <c r="F160" s="9">
        <v>8</v>
      </c>
      <c r="G160" s="2">
        <v>2</v>
      </c>
      <c r="H16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0" s="19">
        <f>Clients[[#This Row],[Facture_Mensuelle]]*Clients[[#This Row],[Remise]]</f>
        <v>20.259</v>
      </c>
    </row>
    <row r="161" spans="1:9" x14ac:dyDescent="0.25">
      <c r="A161" s="2" t="s">
        <v>194</v>
      </c>
      <c r="B161" s="2" t="s">
        <v>57</v>
      </c>
      <c r="C161" s="2" t="s">
        <v>13</v>
      </c>
      <c r="D161" s="3">
        <v>59.92</v>
      </c>
      <c r="E161" s="11">
        <v>9</v>
      </c>
      <c r="F161" s="9">
        <v>7</v>
      </c>
      <c r="G161" s="2">
        <v>4</v>
      </c>
      <c r="H16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1" s="19">
        <f>Clients[[#This Row],[Facture_Mensuelle]]*Clients[[#This Row],[Remise]]</f>
        <v>26.964000000000002</v>
      </c>
    </row>
    <row r="162" spans="1:9" x14ac:dyDescent="0.25">
      <c r="A162" s="2" t="s">
        <v>195</v>
      </c>
      <c r="B162" s="2" t="s">
        <v>40</v>
      </c>
      <c r="C162" s="2" t="s">
        <v>19</v>
      </c>
      <c r="D162" s="3">
        <v>89.55</v>
      </c>
      <c r="E162" s="11">
        <v>3</v>
      </c>
      <c r="F162" s="9">
        <v>6</v>
      </c>
      <c r="G162" s="2">
        <v>3</v>
      </c>
      <c r="H16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2" s="19">
        <f>Clients[[#This Row],[Facture_Mensuelle]]*Clients[[#This Row],[Remise]]</f>
        <v>40.297499999999999</v>
      </c>
    </row>
    <row r="163" spans="1:9" x14ac:dyDescent="0.25">
      <c r="A163" s="2" t="s">
        <v>196</v>
      </c>
      <c r="B163" s="2" t="s">
        <v>62</v>
      </c>
      <c r="C163" s="2" t="s">
        <v>13</v>
      </c>
      <c r="D163" s="3">
        <v>61.54</v>
      </c>
      <c r="E163" s="11">
        <v>10</v>
      </c>
      <c r="F163" s="9">
        <v>4</v>
      </c>
      <c r="G163" s="2">
        <v>1</v>
      </c>
      <c r="H16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3" s="19">
        <f>Clients[[#This Row],[Facture_Mensuelle]]*Clients[[#This Row],[Remise]]</f>
        <v>27.693000000000001</v>
      </c>
    </row>
    <row r="164" spans="1:9" x14ac:dyDescent="0.25">
      <c r="A164" s="2" t="s">
        <v>197</v>
      </c>
      <c r="B164" s="2" t="s">
        <v>22</v>
      </c>
      <c r="C164" s="2" t="s">
        <v>19</v>
      </c>
      <c r="D164" s="3">
        <v>89.05</v>
      </c>
      <c r="E164" s="11">
        <v>7</v>
      </c>
      <c r="F164" s="9">
        <v>2</v>
      </c>
      <c r="G164" s="2">
        <v>0</v>
      </c>
      <c r="H16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64" s="19">
        <f>Clients[[#This Row],[Facture_Mensuelle]]*Clients[[#This Row],[Remise]]</f>
        <v>0</v>
      </c>
    </row>
    <row r="165" spans="1:9" x14ac:dyDescent="0.25">
      <c r="A165" s="2" t="s">
        <v>198</v>
      </c>
      <c r="B165" s="2" t="s">
        <v>44</v>
      </c>
      <c r="C165" s="2" t="s">
        <v>19</v>
      </c>
      <c r="D165" s="3">
        <v>49.47</v>
      </c>
      <c r="E165" s="11">
        <v>9</v>
      </c>
      <c r="F165" s="9">
        <v>8</v>
      </c>
      <c r="G165" s="2">
        <v>4</v>
      </c>
      <c r="H16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5" s="19">
        <f>Clients[[#This Row],[Facture_Mensuelle]]*Clients[[#This Row],[Remise]]</f>
        <v>22.261500000000002</v>
      </c>
    </row>
    <row r="166" spans="1:9" x14ac:dyDescent="0.25">
      <c r="A166" s="2" t="s">
        <v>199</v>
      </c>
      <c r="B166" s="2" t="s">
        <v>156</v>
      </c>
      <c r="C166" s="2" t="s">
        <v>10</v>
      </c>
      <c r="D166" s="3">
        <v>71.37</v>
      </c>
      <c r="E166" s="11">
        <v>0</v>
      </c>
      <c r="F166" s="9">
        <v>2</v>
      </c>
      <c r="G166" s="2">
        <v>1</v>
      </c>
      <c r="H16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66" s="19">
        <f>Clients[[#This Row],[Facture_Mensuelle]]*Clients[[#This Row],[Remise]]</f>
        <v>7.1370000000000005</v>
      </c>
    </row>
    <row r="167" spans="1:9" x14ac:dyDescent="0.25">
      <c r="A167" s="2" t="s">
        <v>200</v>
      </c>
      <c r="B167" s="2" t="s">
        <v>59</v>
      </c>
      <c r="C167" s="2" t="s">
        <v>19</v>
      </c>
      <c r="D167" s="3">
        <v>97.78</v>
      </c>
      <c r="E167" s="11">
        <v>2</v>
      </c>
      <c r="F167" s="9">
        <v>8</v>
      </c>
      <c r="G167" s="2">
        <v>3</v>
      </c>
      <c r="H16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7" s="19">
        <f>Clients[[#This Row],[Facture_Mensuelle]]*Clients[[#This Row],[Remise]]</f>
        <v>44.001000000000005</v>
      </c>
    </row>
    <row r="168" spans="1:9" x14ac:dyDescent="0.25">
      <c r="A168" s="2" t="s">
        <v>201</v>
      </c>
      <c r="B168" s="2" t="s">
        <v>57</v>
      </c>
      <c r="C168" s="2" t="s">
        <v>19</v>
      </c>
      <c r="D168" s="3">
        <v>71.930000000000007</v>
      </c>
      <c r="E168" s="11">
        <v>3</v>
      </c>
      <c r="F168" s="9">
        <v>2</v>
      </c>
      <c r="G168" s="2">
        <v>0</v>
      </c>
      <c r="H16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8" s="19">
        <f>Clients[[#This Row],[Facture_Mensuelle]]*Clients[[#This Row],[Remise]]</f>
        <v>32.368500000000004</v>
      </c>
    </row>
    <row r="169" spans="1:9" x14ac:dyDescent="0.25">
      <c r="A169" s="2" t="s">
        <v>202</v>
      </c>
      <c r="B169" s="2" t="s">
        <v>34</v>
      </c>
      <c r="C169" s="2" t="s">
        <v>13</v>
      </c>
      <c r="D169" s="3">
        <v>53.4</v>
      </c>
      <c r="E169" s="11">
        <v>7</v>
      </c>
      <c r="F169" s="9">
        <v>6</v>
      </c>
      <c r="G169" s="2">
        <v>2</v>
      </c>
      <c r="H16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69" s="19">
        <f>Clients[[#This Row],[Facture_Mensuelle]]*Clients[[#This Row],[Remise]]</f>
        <v>24.03</v>
      </c>
    </row>
    <row r="170" spans="1:9" x14ac:dyDescent="0.25">
      <c r="A170" s="2" t="s">
        <v>203</v>
      </c>
      <c r="B170" s="2" t="s">
        <v>69</v>
      </c>
      <c r="C170" s="2" t="s">
        <v>7</v>
      </c>
      <c r="D170" s="3">
        <v>15.12</v>
      </c>
      <c r="E170" s="11">
        <v>2</v>
      </c>
      <c r="F170" s="9">
        <v>8</v>
      </c>
      <c r="G170" s="2">
        <v>2</v>
      </c>
      <c r="H17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70" s="19">
        <f>Clients[[#This Row],[Facture_Mensuelle]]*Clients[[#This Row],[Remise]]</f>
        <v>6.8039999999999994</v>
      </c>
    </row>
    <row r="171" spans="1:9" x14ac:dyDescent="0.25">
      <c r="A171" s="2" t="s">
        <v>204</v>
      </c>
      <c r="B171" s="2" t="s">
        <v>62</v>
      </c>
      <c r="C171" s="2" t="s">
        <v>13</v>
      </c>
      <c r="D171" s="3">
        <v>37.43</v>
      </c>
      <c r="E171" s="11">
        <v>2</v>
      </c>
      <c r="F171" s="9">
        <v>8</v>
      </c>
      <c r="G171" s="2">
        <v>2</v>
      </c>
      <c r="H17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71" s="19">
        <f>Clients[[#This Row],[Facture_Mensuelle]]*Clients[[#This Row],[Remise]]</f>
        <v>16.843499999999999</v>
      </c>
    </row>
    <row r="172" spans="1:9" x14ac:dyDescent="0.25">
      <c r="A172" s="2" t="s">
        <v>205</v>
      </c>
      <c r="B172" s="2" t="s">
        <v>57</v>
      </c>
      <c r="C172" s="2" t="s">
        <v>10</v>
      </c>
      <c r="D172" s="3">
        <v>40.58</v>
      </c>
      <c r="E172" s="11">
        <v>5</v>
      </c>
      <c r="F172" s="9">
        <v>0</v>
      </c>
      <c r="G172" s="2">
        <v>5</v>
      </c>
      <c r="H17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72" s="19">
        <f>Clients[[#This Row],[Facture_Mensuelle]]*Clients[[#This Row],[Remise]]</f>
        <v>4.0579999999999998</v>
      </c>
    </row>
    <row r="173" spans="1:9" x14ac:dyDescent="0.25">
      <c r="A173" s="2" t="s">
        <v>206</v>
      </c>
      <c r="B173" s="2" t="s">
        <v>9</v>
      </c>
      <c r="C173" s="2" t="s">
        <v>7</v>
      </c>
      <c r="D173" s="3">
        <v>50.14</v>
      </c>
      <c r="E173" s="11">
        <v>7</v>
      </c>
      <c r="F173" s="9">
        <v>2</v>
      </c>
      <c r="G173" s="2">
        <v>5</v>
      </c>
      <c r="H17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73" s="19">
        <f>Clients[[#This Row],[Facture_Mensuelle]]*Clients[[#This Row],[Remise]]</f>
        <v>0</v>
      </c>
    </row>
    <row r="174" spans="1:9" x14ac:dyDescent="0.25">
      <c r="A174" s="2" t="s">
        <v>207</v>
      </c>
      <c r="B174" s="2" t="s">
        <v>34</v>
      </c>
      <c r="C174" s="2" t="s">
        <v>10</v>
      </c>
      <c r="D174" s="3">
        <v>53.27</v>
      </c>
      <c r="E174" s="11">
        <v>6</v>
      </c>
      <c r="F174" s="9">
        <v>6</v>
      </c>
      <c r="G174" s="2">
        <v>3</v>
      </c>
      <c r="H17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74" s="19">
        <f>Clients[[#This Row],[Facture_Mensuelle]]*Clients[[#This Row],[Remise]]</f>
        <v>23.971500000000002</v>
      </c>
    </row>
    <row r="175" spans="1:9" x14ac:dyDescent="0.25">
      <c r="A175" s="2" t="s">
        <v>208</v>
      </c>
      <c r="B175" s="2" t="s">
        <v>44</v>
      </c>
      <c r="C175" s="2" t="s">
        <v>10</v>
      </c>
      <c r="D175" s="3">
        <v>92.96</v>
      </c>
      <c r="E175" s="11">
        <v>10</v>
      </c>
      <c r="F175" s="9">
        <v>8</v>
      </c>
      <c r="G175" s="2">
        <v>5</v>
      </c>
      <c r="H17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75" s="19">
        <f>Clients[[#This Row],[Facture_Mensuelle]]*Clients[[#This Row],[Remise]]</f>
        <v>41.832000000000001</v>
      </c>
    </row>
    <row r="176" spans="1:9" x14ac:dyDescent="0.25">
      <c r="A176" s="2" t="s">
        <v>209</v>
      </c>
      <c r="B176" s="2" t="s">
        <v>72</v>
      </c>
      <c r="C176" s="2" t="s">
        <v>10</v>
      </c>
      <c r="D176" s="3">
        <v>86.68</v>
      </c>
      <c r="E176" s="11">
        <v>2</v>
      </c>
      <c r="F176" s="9">
        <v>1</v>
      </c>
      <c r="G176" s="2">
        <v>1</v>
      </c>
      <c r="H17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76" s="19">
        <f>Clients[[#This Row],[Facture_Mensuelle]]*Clients[[#This Row],[Remise]]</f>
        <v>8.668000000000001</v>
      </c>
    </row>
    <row r="177" spans="1:9" x14ac:dyDescent="0.25">
      <c r="A177" s="2" t="s">
        <v>210</v>
      </c>
      <c r="B177" s="2" t="s">
        <v>38</v>
      </c>
      <c r="C177" s="2" t="s">
        <v>10</v>
      </c>
      <c r="D177" s="3">
        <v>51.28</v>
      </c>
      <c r="E177" s="11">
        <v>9</v>
      </c>
      <c r="F177" s="9">
        <v>3</v>
      </c>
      <c r="G177" s="2">
        <v>4</v>
      </c>
      <c r="H17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77" s="19">
        <f>Clients[[#This Row],[Facture_Mensuelle]]*Clients[[#This Row],[Remise]]</f>
        <v>5.1280000000000001</v>
      </c>
    </row>
    <row r="178" spans="1:9" x14ac:dyDescent="0.25">
      <c r="A178" s="2" t="s">
        <v>211</v>
      </c>
      <c r="B178" s="2" t="s">
        <v>38</v>
      </c>
      <c r="C178" s="2" t="s">
        <v>13</v>
      </c>
      <c r="D178" s="3">
        <v>52.64</v>
      </c>
      <c r="E178" s="11">
        <v>1</v>
      </c>
      <c r="F178" s="9">
        <v>6</v>
      </c>
      <c r="G178" s="2">
        <v>0</v>
      </c>
      <c r="H17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78" s="19">
        <f>Clients[[#This Row],[Facture_Mensuelle]]*Clients[[#This Row],[Remise]]</f>
        <v>23.688000000000002</v>
      </c>
    </row>
    <row r="179" spans="1:9" x14ac:dyDescent="0.25">
      <c r="A179" s="2" t="s">
        <v>212</v>
      </c>
      <c r="B179" s="2" t="s">
        <v>38</v>
      </c>
      <c r="C179" s="2" t="s">
        <v>10</v>
      </c>
      <c r="D179" s="3">
        <v>59.2</v>
      </c>
      <c r="E179" s="11">
        <v>6</v>
      </c>
      <c r="F179" s="9">
        <v>7</v>
      </c>
      <c r="G179" s="2">
        <v>1</v>
      </c>
      <c r="H17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79" s="19">
        <f>Clients[[#This Row],[Facture_Mensuelle]]*Clients[[#This Row],[Remise]]</f>
        <v>26.64</v>
      </c>
    </row>
    <row r="180" spans="1:9" x14ac:dyDescent="0.25">
      <c r="A180" s="2" t="s">
        <v>213</v>
      </c>
      <c r="B180" s="2" t="s">
        <v>34</v>
      </c>
      <c r="C180" s="2" t="s">
        <v>7</v>
      </c>
      <c r="D180" s="3">
        <v>62.53</v>
      </c>
      <c r="E180" s="11">
        <v>5</v>
      </c>
      <c r="F180" s="9">
        <v>3</v>
      </c>
      <c r="G180" s="2">
        <v>0</v>
      </c>
      <c r="H18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80" s="19">
        <f>Clients[[#This Row],[Facture_Mensuelle]]*Clients[[#This Row],[Remise]]</f>
        <v>0</v>
      </c>
    </row>
    <row r="181" spans="1:9" x14ac:dyDescent="0.25">
      <c r="A181" s="2" t="s">
        <v>214</v>
      </c>
      <c r="B181" s="2" t="s">
        <v>34</v>
      </c>
      <c r="C181" s="2" t="s">
        <v>19</v>
      </c>
      <c r="D181" s="3">
        <v>58.28</v>
      </c>
      <c r="E181" s="11">
        <v>3</v>
      </c>
      <c r="F181" s="9">
        <v>1</v>
      </c>
      <c r="G181" s="2">
        <v>4</v>
      </c>
      <c r="H18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81" s="19">
        <f>Clients[[#This Row],[Facture_Mensuelle]]*Clients[[#This Row],[Remise]]</f>
        <v>26.226000000000003</v>
      </c>
    </row>
    <row r="182" spans="1:9" x14ac:dyDescent="0.25">
      <c r="A182" s="2" t="s">
        <v>215</v>
      </c>
      <c r="B182" s="2" t="s">
        <v>97</v>
      </c>
      <c r="C182" s="2" t="s">
        <v>7</v>
      </c>
      <c r="D182" s="3">
        <v>46.88</v>
      </c>
      <c r="E182" s="11">
        <v>10</v>
      </c>
      <c r="F182" s="9">
        <v>3</v>
      </c>
      <c r="G182" s="2">
        <v>1</v>
      </c>
      <c r="H18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82" s="19">
        <f>Clients[[#This Row],[Facture_Mensuelle]]*Clients[[#This Row],[Remise]]</f>
        <v>0</v>
      </c>
    </row>
    <row r="183" spans="1:9" x14ac:dyDescent="0.25">
      <c r="A183" s="2" t="s">
        <v>216</v>
      </c>
      <c r="B183" s="2" t="s">
        <v>59</v>
      </c>
      <c r="C183" s="2" t="s">
        <v>13</v>
      </c>
      <c r="D183" s="3">
        <v>36.700000000000003</v>
      </c>
      <c r="E183" s="11">
        <v>4</v>
      </c>
      <c r="F183" s="9">
        <v>8</v>
      </c>
      <c r="G183" s="2">
        <v>4</v>
      </c>
      <c r="H18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83" s="19">
        <f>Clients[[#This Row],[Facture_Mensuelle]]*Clients[[#This Row],[Remise]]</f>
        <v>16.515000000000001</v>
      </c>
    </row>
    <row r="184" spans="1:9" x14ac:dyDescent="0.25">
      <c r="A184" s="2" t="s">
        <v>217</v>
      </c>
      <c r="B184" s="2" t="s">
        <v>97</v>
      </c>
      <c r="C184" s="2" t="s">
        <v>7</v>
      </c>
      <c r="D184" s="3">
        <v>65.87</v>
      </c>
      <c r="E184" s="11">
        <v>7</v>
      </c>
      <c r="F184" s="9">
        <v>4</v>
      </c>
      <c r="G184" s="2">
        <v>3</v>
      </c>
      <c r="H18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84" s="19">
        <f>Clients[[#This Row],[Facture_Mensuelle]]*Clients[[#This Row],[Remise]]</f>
        <v>29.641500000000004</v>
      </c>
    </row>
    <row r="185" spans="1:9" x14ac:dyDescent="0.25">
      <c r="A185" s="2" t="s">
        <v>218</v>
      </c>
      <c r="B185" s="2" t="s">
        <v>42</v>
      </c>
      <c r="C185" s="2" t="s">
        <v>19</v>
      </c>
      <c r="D185" s="3">
        <v>60.95</v>
      </c>
      <c r="E185" s="11">
        <v>1</v>
      </c>
      <c r="F185" s="9">
        <v>5</v>
      </c>
      <c r="G185" s="2">
        <v>0</v>
      </c>
      <c r="H18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85" s="19">
        <f>Clients[[#This Row],[Facture_Mensuelle]]*Clients[[#This Row],[Remise]]</f>
        <v>27.427500000000002</v>
      </c>
    </row>
    <row r="186" spans="1:9" x14ac:dyDescent="0.25">
      <c r="A186" s="2" t="s">
        <v>219</v>
      </c>
      <c r="B186" s="2" t="s">
        <v>18</v>
      </c>
      <c r="C186" s="2" t="s">
        <v>10</v>
      </c>
      <c r="D186" s="3">
        <v>39.57</v>
      </c>
      <c r="E186" s="11">
        <v>1</v>
      </c>
      <c r="F186" s="9">
        <v>6</v>
      </c>
      <c r="G186" s="2">
        <v>3</v>
      </c>
      <c r="H18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86" s="19">
        <f>Clients[[#This Row],[Facture_Mensuelle]]*Clients[[#This Row],[Remise]]</f>
        <v>17.8065</v>
      </c>
    </row>
    <row r="187" spans="1:9" x14ac:dyDescent="0.25">
      <c r="A187" s="2" t="s">
        <v>220</v>
      </c>
      <c r="B187" s="2" t="s">
        <v>22</v>
      </c>
      <c r="C187" s="2" t="s">
        <v>19</v>
      </c>
      <c r="D187" s="3">
        <v>73.7</v>
      </c>
      <c r="E187" s="11">
        <v>7</v>
      </c>
      <c r="F187" s="9">
        <v>5</v>
      </c>
      <c r="G187" s="2">
        <v>0</v>
      </c>
      <c r="H18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87" s="19">
        <f>Clients[[#This Row],[Facture_Mensuelle]]*Clients[[#This Row],[Remise]]</f>
        <v>33.164999999999999</v>
      </c>
    </row>
    <row r="188" spans="1:9" x14ac:dyDescent="0.25">
      <c r="A188" s="2" t="s">
        <v>221</v>
      </c>
      <c r="B188" s="2" t="s">
        <v>40</v>
      </c>
      <c r="C188" s="2" t="s">
        <v>19</v>
      </c>
      <c r="D188" s="3">
        <v>29.76</v>
      </c>
      <c r="E188" s="11">
        <v>5</v>
      </c>
      <c r="F188" s="9">
        <v>2</v>
      </c>
      <c r="G188" s="2">
        <v>5</v>
      </c>
      <c r="H18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88" s="19">
        <f>Clients[[#This Row],[Facture_Mensuelle]]*Clients[[#This Row],[Remise]]</f>
        <v>0</v>
      </c>
    </row>
    <row r="189" spans="1:9" x14ac:dyDescent="0.25">
      <c r="A189" s="2" t="s">
        <v>222</v>
      </c>
      <c r="B189" s="2" t="s">
        <v>28</v>
      </c>
      <c r="C189" s="2" t="s">
        <v>10</v>
      </c>
      <c r="D189" s="3">
        <v>38.49</v>
      </c>
      <c r="E189" s="11">
        <v>3</v>
      </c>
      <c r="F189" s="9">
        <v>3</v>
      </c>
      <c r="G189" s="2">
        <v>4</v>
      </c>
      <c r="H18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189" s="19">
        <f>Clients[[#This Row],[Facture_Mensuelle]]*Clients[[#This Row],[Remise]]</f>
        <v>3.8490000000000002</v>
      </c>
    </row>
    <row r="190" spans="1:9" x14ac:dyDescent="0.25">
      <c r="A190" s="2" t="s">
        <v>223</v>
      </c>
      <c r="B190" s="2" t="s">
        <v>30</v>
      </c>
      <c r="C190" s="2" t="s">
        <v>19</v>
      </c>
      <c r="D190" s="3">
        <v>21.55</v>
      </c>
      <c r="E190" s="11">
        <v>9</v>
      </c>
      <c r="F190" s="9">
        <v>3</v>
      </c>
      <c r="G190" s="2">
        <v>0</v>
      </c>
      <c r="H19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90" s="19">
        <f>Clients[[#This Row],[Facture_Mensuelle]]*Clients[[#This Row],[Remise]]</f>
        <v>0</v>
      </c>
    </row>
    <row r="191" spans="1:9" x14ac:dyDescent="0.25">
      <c r="A191" s="2" t="s">
        <v>224</v>
      </c>
      <c r="B191" s="2" t="s">
        <v>15</v>
      </c>
      <c r="C191" s="2" t="s">
        <v>13</v>
      </c>
      <c r="D191" s="3">
        <v>86.63</v>
      </c>
      <c r="E191" s="11">
        <v>7</v>
      </c>
      <c r="F191" s="9">
        <v>7</v>
      </c>
      <c r="G191" s="2">
        <v>4</v>
      </c>
      <c r="H19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91" s="19">
        <f>Clients[[#This Row],[Facture_Mensuelle]]*Clients[[#This Row],[Remise]]</f>
        <v>38.983499999999999</v>
      </c>
    </row>
    <row r="192" spans="1:9" x14ac:dyDescent="0.25">
      <c r="A192" s="2" t="s">
        <v>225</v>
      </c>
      <c r="B192" s="2" t="s">
        <v>105</v>
      </c>
      <c r="C192" s="2" t="s">
        <v>10</v>
      </c>
      <c r="D192" s="3">
        <v>58.59</v>
      </c>
      <c r="E192" s="11">
        <v>3</v>
      </c>
      <c r="F192" s="9">
        <v>8</v>
      </c>
      <c r="G192" s="2">
        <v>5</v>
      </c>
      <c r="H19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92" s="19">
        <f>Clients[[#This Row],[Facture_Mensuelle]]*Clients[[#This Row],[Remise]]</f>
        <v>26.365500000000001</v>
      </c>
    </row>
    <row r="193" spans="1:9" x14ac:dyDescent="0.25">
      <c r="A193" s="2" t="s">
        <v>226</v>
      </c>
      <c r="B193" s="2" t="s">
        <v>48</v>
      </c>
      <c r="C193" s="2" t="s">
        <v>13</v>
      </c>
      <c r="D193" s="3">
        <v>16.25</v>
      </c>
      <c r="E193" s="11">
        <v>7</v>
      </c>
      <c r="F193" s="9">
        <v>2</v>
      </c>
      <c r="G193" s="2">
        <v>4</v>
      </c>
      <c r="H19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93" s="19">
        <f>Clients[[#This Row],[Facture_Mensuelle]]*Clients[[#This Row],[Remise]]</f>
        <v>0</v>
      </c>
    </row>
    <row r="194" spans="1:9" x14ac:dyDescent="0.25">
      <c r="A194" s="2" t="s">
        <v>227</v>
      </c>
      <c r="B194" s="2" t="s">
        <v>59</v>
      </c>
      <c r="C194" s="2" t="s">
        <v>19</v>
      </c>
      <c r="D194" s="3">
        <v>77.63</v>
      </c>
      <c r="E194" s="11">
        <v>7</v>
      </c>
      <c r="F194" s="9">
        <v>1</v>
      </c>
      <c r="G194" s="2">
        <v>1</v>
      </c>
      <c r="H19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94" s="19">
        <f>Clients[[#This Row],[Facture_Mensuelle]]*Clients[[#This Row],[Remise]]</f>
        <v>0</v>
      </c>
    </row>
    <row r="195" spans="1:9" x14ac:dyDescent="0.25">
      <c r="A195" s="2" t="s">
        <v>228</v>
      </c>
      <c r="B195" s="2" t="s">
        <v>156</v>
      </c>
      <c r="C195" s="2" t="s">
        <v>7</v>
      </c>
      <c r="D195" s="3">
        <v>39.81</v>
      </c>
      <c r="E195" s="11">
        <v>2</v>
      </c>
      <c r="F195" s="9">
        <v>5</v>
      </c>
      <c r="G195" s="2">
        <v>5</v>
      </c>
      <c r="H19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95" s="19">
        <f>Clients[[#This Row],[Facture_Mensuelle]]*Clients[[#This Row],[Remise]]</f>
        <v>17.9145</v>
      </c>
    </row>
    <row r="196" spans="1:9" x14ac:dyDescent="0.25">
      <c r="A196" s="2" t="s">
        <v>229</v>
      </c>
      <c r="B196" s="2" t="s">
        <v>44</v>
      </c>
      <c r="C196" s="2" t="s">
        <v>19</v>
      </c>
      <c r="D196" s="3">
        <v>35.54</v>
      </c>
      <c r="E196" s="11">
        <v>6</v>
      </c>
      <c r="F196" s="9">
        <v>4</v>
      </c>
      <c r="G196" s="2">
        <v>3</v>
      </c>
      <c r="H19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96" s="19">
        <f>Clients[[#This Row],[Facture_Mensuelle]]*Clients[[#This Row],[Remise]]</f>
        <v>15.993</v>
      </c>
    </row>
    <row r="197" spans="1:9" x14ac:dyDescent="0.25">
      <c r="A197" s="2" t="s">
        <v>230</v>
      </c>
      <c r="B197" s="2" t="s">
        <v>42</v>
      </c>
      <c r="C197" s="2" t="s">
        <v>10</v>
      </c>
      <c r="D197" s="3">
        <v>88.35</v>
      </c>
      <c r="E197" s="11">
        <v>8</v>
      </c>
      <c r="F197" s="9">
        <v>5</v>
      </c>
      <c r="G197" s="2">
        <v>4</v>
      </c>
      <c r="H19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97" s="19">
        <f>Clients[[#This Row],[Facture_Mensuelle]]*Clients[[#This Row],[Remise]]</f>
        <v>39.7575</v>
      </c>
    </row>
    <row r="198" spans="1:9" x14ac:dyDescent="0.25">
      <c r="A198" s="2" t="s">
        <v>231</v>
      </c>
      <c r="B198" s="2" t="s">
        <v>69</v>
      </c>
      <c r="C198" s="2" t="s">
        <v>13</v>
      </c>
      <c r="D198" s="3">
        <v>97.5</v>
      </c>
      <c r="E198" s="11">
        <v>1</v>
      </c>
      <c r="F198" s="9">
        <v>1</v>
      </c>
      <c r="G198" s="2">
        <v>4</v>
      </c>
      <c r="H19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198" s="19">
        <f>Clients[[#This Row],[Facture_Mensuelle]]*Clients[[#This Row],[Remise]]</f>
        <v>0</v>
      </c>
    </row>
    <row r="199" spans="1:9" x14ac:dyDescent="0.25">
      <c r="A199" s="2" t="s">
        <v>232</v>
      </c>
      <c r="B199" s="2" t="s">
        <v>46</v>
      </c>
      <c r="C199" s="2" t="s">
        <v>7</v>
      </c>
      <c r="D199" s="3">
        <v>89.56</v>
      </c>
      <c r="E199" s="11">
        <v>3</v>
      </c>
      <c r="F199" s="9">
        <v>5</v>
      </c>
      <c r="G199" s="2">
        <v>1</v>
      </c>
      <c r="H19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199" s="19">
        <f>Clients[[#This Row],[Facture_Mensuelle]]*Clients[[#This Row],[Remise]]</f>
        <v>40.302</v>
      </c>
    </row>
    <row r="200" spans="1:9" x14ac:dyDescent="0.25">
      <c r="A200" s="2" t="s">
        <v>233</v>
      </c>
      <c r="B200" s="2" t="s">
        <v>38</v>
      </c>
      <c r="C200" s="2" t="s">
        <v>10</v>
      </c>
      <c r="D200" s="3">
        <v>55.29</v>
      </c>
      <c r="E200" s="11">
        <v>1</v>
      </c>
      <c r="F200" s="9">
        <v>3</v>
      </c>
      <c r="G200" s="2">
        <v>2</v>
      </c>
      <c r="H20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00" s="19">
        <f>Clients[[#This Row],[Facture_Mensuelle]]*Clients[[#This Row],[Remise]]</f>
        <v>5.5289999999999999</v>
      </c>
    </row>
    <row r="201" spans="1:9" x14ac:dyDescent="0.25">
      <c r="A201" s="2" t="s">
        <v>234</v>
      </c>
      <c r="B201" s="2" t="s">
        <v>22</v>
      </c>
      <c r="C201" s="2" t="s">
        <v>10</v>
      </c>
      <c r="D201" s="3">
        <v>68.790000000000006</v>
      </c>
      <c r="E201" s="11">
        <v>2</v>
      </c>
      <c r="F201" s="9">
        <v>4</v>
      </c>
      <c r="G201" s="2">
        <v>0</v>
      </c>
      <c r="H20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01" s="19">
        <f>Clients[[#This Row],[Facture_Mensuelle]]*Clients[[#This Row],[Remise]]</f>
        <v>30.955500000000004</v>
      </c>
    </row>
    <row r="202" spans="1:9" x14ac:dyDescent="0.25">
      <c r="A202" s="2" t="s">
        <v>235</v>
      </c>
      <c r="B202" s="2" t="s">
        <v>32</v>
      </c>
      <c r="C202" s="2" t="s">
        <v>7</v>
      </c>
      <c r="D202" s="3">
        <v>91.32</v>
      </c>
      <c r="E202" s="11">
        <v>4</v>
      </c>
      <c r="F202" s="9">
        <v>5</v>
      </c>
      <c r="G202" s="2">
        <v>4</v>
      </c>
      <c r="H20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02" s="19">
        <f>Clients[[#This Row],[Facture_Mensuelle]]*Clients[[#This Row],[Remise]]</f>
        <v>41.094000000000001</v>
      </c>
    </row>
    <row r="203" spans="1:9" x14ac:dyDescent="0.25">
      <c r="A203" s="2" t="s">
        <v>236</v>
      </c>
      <c r="B203" s="2" t="s">
        <v>28</v>
      </c>
      <c r="C203" s="2" t="s">
        <v>10</v>
      </c>
      <c r="D203" s="3">
        <v>72.94</v>
      </c>
      <c r="E203" s="11">
        <v>5</v>
      </c>
      <c r="F203" s="9">
        <v>6</v>
      </c>
      <c r="G203" s="2">
        <v>0</v>
      </c>
      <c r="H20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03" s="19">
        <f>Clients[[#This Row],[Facture_Mensuelle]]*Clients[[#This Row],[Remise]]</f>
        <v>32.823</v>
      </c>
    </row>
    <row r="204" spans="1:9" x14ac:dyDescent="0.25">
      <c r="A204" s="2" t="s">
        <v>237</v>
      </c>
      <c r="B204" s="2" t="s">
        <v>9</v>
      </c>
      <c r="C204" s="2" t="s">
        <v>13</v>
      </c>
      <c r="D204" s="3">
        <v>12.52</v>
      </c>
      <c r="E204" s="11">
        <v>8</v>
      </c>
      <c r="F204" s="9">
        <v>4</v>
      </c>
      <c r="G204" s="2">
        <v>2</v>
      </c>
      <c r="H20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04" s="19">
        <f>Clients[[#This Row],[Facture_Mensuelle]]*Clients[[#This Row],[Remise]]</f>
        <v>5.6340000000000003</v>
      </c>
    </row>
    <row r="205" spans="1:9" x14ac:dyDescent="0.25">
      <c r="A205" s="2" t="s">
        <v>238</v>
      </c>
      <c r="B205" s="2" t="s">
        <v>42</v>
      </c>
      <c r="C205" s="2" t="s">
        <v>7</v>
      </c>
      <c r="D205" s="3">
        <v>67.209999999999994</v>
      </c>
      <c r="E205" s="11">
        <v>8</v>
      </c>
      <c r="F205" s="9">
        <v>6</v>
      </c>
      <c r="G205" s="2">
        <v>3</v>
      </c>
      <c r="H20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05" s="19">
        <f>Clients[[#This Row],[Facture_Mensuelle]]*Clients[[#This Row],[Remise]]</f>
        <v>30.244499999999999</v>
      </c>
    </row>
    <row r="206" spans="1:9" x14ac:dyDescent="0.25">
      <c r="A206" s="2" t="s">
        <v>239</v>
      </c>
      <c r="B206" s="2" t="s">
        <v>72</v>
      </c>
      <c r="C206" s="2" t="s">
        <v>19</v>
      </c>
      <c r="D206" s="3">
        <v>88.03</v>
      </c>
      <c r="E206" s="11">
        <v>7</v>
      </c>
      <c r="F206" s="9">
        <v>4</v>
      </c>
      <c r="G206" s="2">
        <v>1</v>
      </c>
      <c r="H20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06" s="19">
        <f>Clients[[#This Row],[Facture_Mensuelle]]*Clients[[#This Row],[Remise]]</f>
        <v>39.613500000000002</v>
      </c>
    </row>
    <row r="207" spans="1:9" x14ac:dyDescent="0.25">
      <c r="A207" s="2" t="s">
        <v>240</v>
      </c>
      <c r="B207" s="2" t="s">
        <v>28</v>
      </c>
      <c r="C207" s="2" t="s">
        <v>13</v>
      </c>
      <c r="D207" s="3">
        <v>95.09</v>
      </c>
      <c r="E207" s="11">
        <v>6</v>
      </c>
      <c r="F207" s="9">
        <v>1</v>
      </c>
      <c r="G207" s="2">
        <v>0</v>
      </c>
      <c r="H20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07" s="19">
        <f>Clients[[#This Row],[Facture_Mensuelle]]*Clients[[#This Row],[Remise]]</f>
        <v>0</v>
      </c>
    </row>
    <row r="208" spans="1:9" x14ac:dyDescent="0.25">
      <c r="A208" s="2" t="s">
        <v>241</v>
      </c>
      <c r="B208" s="2" t="s">
        <v>62</v>
      </c>
      <c r="C208" s="2" t="s">
        <v>10</v>
      </c>
      <c r="D208" s="3">
        <v>37.35</v>
      </c>
      <c r="E208" s="11">
        <v>9</v>
      </c>
      <c r="F208" s="9">
        <v>7</v>
      </c>
      <c r="G208" s="2">
        <v>4</v>
      </c>
      <c r="H20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08" s="19">
        <f>Clients[[#This Row],[Facture_Mensuelle]]*Clients[[#This Row],[Remise]]</f>
        <v>16.807500000000001</v>
      </c>
    </row>
    <row r="209" spans="1:9" x14ac:dyDescent="0.25">
      <c r="A209" s="2" t="s">
        <v>242</v>
      </c>
      <c r="B209" s="2" t="s">
        <v>28</v>
      </c>
      <c r="C209" s="2" t="s">
        <v>10</v>
      </c>
      <c r="D209" s="3">
        <v>45.51</v>
      </c>
      <c r="E209" s="11">
        <v>9</v>
      </c>
      <c r="F209" s="9">
        <v>1</v>
      </c>
      <c r="G209" s="2">
        <v>1</v>
      </c>
      <c r="H20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09" s="19">
        <f>Clients[[#This Row],[Facture_Mensuelle]]*Clients[[#This Row],[Remise]]</f>
        <v>4.5510000000000002</v>
      </c>
    </row>
    <row r="210" spans="1:9" x14ac:dyDescent="0.25">
      <c r="A210" s="2" t="s">
        <v>243</v>
      </c>
      <c r="B210" s="2" t="s">
        <v>30</v>
      </c>
      <c r="C210" s="2" t="s">
        <v>13</v>
      </c>
      <c r="D210" s="3">
        <v>29</v>
      </c>
      <c r="E210" s="11">
        <v>8</v>
      </c>
      <c r="F210" s="9">
        <v>5</v>
      </c>
      <c r="G210" s="2">
        <v>3</v>
      </c>
      <c r="H21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10" s="19">
        <f>Clients[[#This Row],[Facture_Mensuelle]]*Clients[[#This Row],[Remise]]</f>
        <v>13.05</v>
      </c>
    </row>
    <row r="211" spans="1:9" x14ac:dyDescent="0.25">
      <c r="A211" s="2" t="s">
        <v>244</v>
      </c>
      <c r="B211" s="2" t="s">
        <v>28</v>
      </c>
      <c r="C211" s="2" t="s">
        <v>13</v>
      </c>
      <c r="D211" s="3">
        <v>77.08</v>
      </c>
      <c r="E211" s="11">
        <v>1</v>
      </c>
      <c r="F211" s="9">
        <v>8</v>
      </c>
      <c r="G211" s="2">
        <v>0</v>
      </c>
      <c r="H21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11" s="19">
        <f>Clients[[#This Row],[Facture_Mensuelle]]*Clients[[#This Row],[Remise]]</f>
        <v>34.686</v>
      </c>
    </row>
    <row r="212" spans="1:9" x14ac:dyDescent="0.25">
      <c r="A212" s="2" t="s">
        <v>245</v>
      </c>
      <c r="B212" s="2" t="s">
        <v>59</v>
      </c>
      <c r="C212" s="2" t="s">
        <v>19</v>
      </c>
      <c r="D212" s="3">
        <v>35.81</v>
      </c>
      <c r="E212" s="11">
        <v>4</v>
      </c>
      <c r="F212" s="9">
        <v>3</v>
      </c>
      <c r="G212" s="2">
        <v>0</v>
      </c>
      <c r="H21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12" s="19">
        <f>Clients[[#This Row],[Facture_Mensuelle]]*Clients[[#This Row],[Remise]]</f>
        <v>16.114500000000003</v>
      </c>
    </row>
    <row r="213" spans="1:9" x14ac:dyDescent="0.25">
      <c r="A213" s="2" t="s">
        <v>246</v>
      </c>
      <c r="B213" s="2" t="s">
        <v>12</v>
      </c>
      <c r="C213" s="2" t="s">
        <v>10</v>
      </c>
      <c r="D213" s="3">
        <v>29.7</v>
      </c>
      <c r="E213" s="11">
        <v>9</v>
      </c>
      <c r="F213" s="9">
        <v>2</v>
      </c>
      <c r="G213" s="2">
        <v>2</v>
      </c>
      <c r="H21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13" s="19">
        <f>Clients[[#This Row],[Facture_Mensuelle]]*Clients[[#This Row],[Remise]]</f>
        <v>2.97</v>
      </c>
    </row>
    <row r="214" spans="1:9" x14ac:dyDescent="0.25">
      <c r="A214" s="2" t="s">
        <v>247</v>
      </c>
      <c r="B214" s="2" t="s">
        <v>69</v>
      </c>
      <c r="C214" s="2" t="s">
        <v>10</v>
      </c>
      <c r="D214" s="3">
        <v>50.55</v>
      </c>
      <c r="E214" s="11">
        <v>0</v>
      </c>
      <c r="F214" s="9">
        <v>6</v>
      </c>
      <c r="G214" s="2">
        <v>5</v>
      </c>
      <c r="H21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14" s="19">
        <f>Clients[[#This Row],[Facture_Mensuelle]]*Clients[[#This Row],[Remise]]</f>
        <v>22.747499999999999</v>
      </c>
    </row>
    <row r="215" spans="1:9" x14ac:dyDescent="0.25">
      <c r="A215" s="2" t="s">
        <v>248</v>
      </c>
      <c r="B215" s="2" t="s">
        <v>62</v>
      </c>
      <c r="C215" s="2" t="s">
        <v>13</v>
      </c>
      <c r="D215" s="3">
        <v>43.06</v>
      </c>
      <c r="E215" s="11">
        <v>9</v>
      </c>
      <c r="F215" s="9">
        <v>6</v>
      </c>
      <c r="G215" s="2">
        <v>4</v>
      </c>
      <c r="H21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15" s="19">
        <f>Clients[[#This Row],[Facture_Mensuelle]]*Clients[[#This Row],[Remise]]</f>
        <v>19.377000000000002</v>
      </c>
    </row>
    <row r="216" spans="1:9" x14ac:dyDescent="0.25">
      <c r="A216" s="2" t="s">
        <v>249</v>
      </c>
      <c r="B216" s="2" t="s">
        <v>59</v>
      </c>
      <c r="C216" s="2" t="s">
        <v>19</v>
      </c>
      <c r="D216" s="3">
        <v>81.569999999999993</v>
      </c>
      <c r="E216" s="11">
        <v>9</v>
      </c>
      <c r="F216" s="9">
        <v>5</v>
      </c>
      <c r="G216" s="2">
        <v>2</v>
      </c>
      <c r="H21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16" s="19">
        <f>Clients[[#This Row],[Facture_Mensuelle]]*Clients[[#This Row],[Remise]]</f>
        <v>36.706499999999998</v>
      </c>
    </row>
    <row r="217" spans="1:9" x14ac:dyDescent="0.25">
      <c r="A217" s="2" t="s">
        <v>250</v>
      </c>
      <c r="B217" s="2" t="s">
        <v>34</v>
      </c>
      <c r="C217" s="2" t="s">
        <v>13</v>
      </c>
      <c r="D217" s="3">
        <v>19.68</v>
      </c>
      <c r="E217" s="11">
        <v>1</v>
      </c>
      <c r="F217" s="9">
        <v>5</v>
      </c>
      <c r="G217" s="2">
        <v>5</v>
      </c>
      <c r="H21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17" s="19">
        <f>Clients[[#This Row],[Facture_Mensuelle]]*Clients[[#This Row],[Remise]]</f>
        <v>8.8559999999999999</v>
      </c>
    </row>
    <row r="218" spans="1:9" x14ac:dyDescent="0.25">
      <c r="A218" s="2" t="s">
        <v>251</v>
      </c>
      <c r="B218" s="2" t="s">
        <v>18</v>
      </c>
      <c r="C218" s="2" t="s">
        <v>7</v>
      </c>
      <c r="D218" s="3">
        <v>21.67</v>
      </c>
      <c r="E218" s="11">
        <v>6</v>
      </c>
      <c r="F218" s="9">
        <v>6</v>
      </c>
      <c r="G218" s="2">
        <v>0</v>
      </c>
      <c r="H21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18" s="19">
        <f>Clients[[#This Row],[Facture_Mensuelle]]*Clients[[#This Row],[Remise]]</f>
        <v>9.7515000000000018</v>
      </c>
    </row>
    <row r="219" spans="1:9" x14ac:dyDescent="0.25">
      <c r="A219" s="2" t="s">
        <v>252</v>
      </c>
      <c r="B219" s="2" t="s">
        <v>9</v>
      </c>
      <c r="C219" s="2" t="s">
        <v>7</v>
      </c>
      <c r="D219" s="3">
        <v>36.1</v>
      </c>
      <c r="E219" s="11">
        <v>1</v>
      </c>
      <c r="F219" s="9">
        <v>1</v>
      </c>
      <c r="G219" s="2">
        <v>5</v>
      </c>
      <c r="H21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19" s="19">
        <f>Clients[[#This Row],[Facture_Mensuelle]]*Clients[[#This Row],[Remise]]</f>
        <v>0</v>
      </c>
    </row>
    <row r="220" spans="1:9" x14ac:dyDescent="0.25">
      <c r="A220" s="2" t="s">
        <v>253</v>
      </c>
      <c r="B220" s="2" t="s">
        <v>38</v>
      </c>
      <c r="C220" s="2" t="s">
        <v>10</v>
      </c>
      <c r="D220" s="3">
        <v>95.53</v>
      </c>
      <c r="E220" s="11">
        <v>6</v>
      </c>
      <c r="F220" s="9">
        <v>2</v>
      </c>
      <c r="G220" s="2">
        <v>3</v>
      </c>
      <c r="H22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20" s="19">
        <f>Clients[[#This Row],[Facture_Mensuelle]]*Clients[[#This Row],[Remise]]</f>
        <v>9.5530000000000008</v>
      </c>
    </row>
    <row r="221" spans="1:9" x14ac:dyDescent="0.25">
      <c r="A221" s="2" t="s">
        <v>254</v>
      </c>
      <c r="B221" s="2" t="s">
        <v>44</v>
      </c>
      <c r="C221" s="2" t="s">
        <v>19</v>
      </c>
      <c r="D221" s="3">
        <v>47.72</v>
      </c>
      <c r="E221" s="11">
        <v>6</v>
      </c>
      <c r="F221" s="9">
        <v>4</v>
      </c>
      <c r="G221" s="2">
        <v>0</v>
      </c>
      <c r="H22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21" s="19">
        <f>Clients[[#This Row],[Facture_Mensuelle]]*Clients[[#This Row],[Remise]]</f>
        <v>21.474</v>
      </c>
    </row>
    <row r="222" spans="1:9" x14ac:dyDescent="0.25">
      <c r="A222" s="2" t="s">
        <v>255</v>
      </c>
      <c r="B222" s="2" t="s">
        <v>97</v>
      </c>
      <c r="C222" s="2" t="s">
        <v>19</v>
      </c>
      <c r="D222" s="3">
        <v>94.38</v>
      </c>
      <c r="E222" s="11">
        <v>7</v>
      </c>
      <c r="F222" s="9">
        <v>4</v>
      </c>
      <c r="G222" s="2">
        <v>3</v>
      </c>
      <c r="H22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22" s="19">
        <f>Clients[[#This Row],[Facture_Mensuelle]]*Clients[[#This Row],[Remise]]</f>
        <v>42.470999999999997</v>
      </c>
    </row>
    <row r="223" spans="1:9" x14ac:dyDescent="0.25">
      <c r="A223" s="2" t="s">
        <v>256</v>
      </c>
      <c r="B223" s="2" t="s">
        <v>57</v>
      </c>
      <c r="C223" s="2" t="s">
        <v>10</v>
      </c>
      <c r="D223" s="3">
        <v>18.77</v>
      </c>
      <c r="E223" s="11">
        <v>4</v>
      </c>
      <c r="F223" s="9">
        <v>0</v>
      </c>
      <c r="G223" s="2">
        <v>0</v>
      </c>
      <c r="H22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23" s="19">
        <f>Clients[[#This Row],[Facture_Mensuelle]]*Clients[[#This Row],[Remise]]</f>
        <v>1.877</v>
      </c>
    </row>
    <row r="224" spans="1:9" x14ac:dyDescent="0.25">
      <c r="A224" s="2" t="s">
        <v>257</v>
      </c>
      <c r="B224" s="2" t="s">
        <v>69</v>
      </c>
      <c r="C224" s="2" t="s">
        <v>7</v>
      </c>
      <c r="D224" s="3">
        <v>83.74</v>
      </c>
      <c r="E224" s="11">
        <v>8</v>
      </c>
      <c r="F224" s="9">
        <v>4</v>
      </c>
      <c r="G224" s="2">
        <v>5</v>
      </c>
      <c r="H22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24" s="19">
        <f>Clients[[#This Row],[Facture_Mensuelle]]*Clients[[#This Row],[Remise]]</f>
        <v>37.683</v>
      </c>
    </row>
    <row r="225" spans="1:9" x14ac:dyDescent="0.25">
      <c r="A225" s="2" t="s">
        <v>258</v>
      </c>
      <c r="B225" s="2" t="s">
        <v>6</v>
      </c>
      <c r="C225" s="2" t="s">
        <v>10</v>
      </c>
      <c r="D225" s="3">
        <v>94.9</v>
      </c>
      <c r="E225" s="11">
        <v>7</v>
      </c>
      <c r="F225" s="9">
        <v>7</v>
      </c>
      <c r="G225" s="2">
        <v>1</v>
      </c>
      <c r="H22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25" s="19">
        <f>Clients[[#This Row],[Facture_Mensuelle]]*Clients[[#This Row],[Remise]]</f>
        <v>42.705000000000005</v>
      </c>
    </row>
    <row r="226" spans="1:9" x14ac:dyDescent="0.25">
      <c r="A226" s="2" t="s">
        <v>259</v>
      </c>
      <c r="B226" s="2" t="s">
        <v>12</v>
      </c>
      <c r="C226" s="2" t="s">
        <v>19</v>
      </c>
      <c r="D226" s="3">
        <v>26.75</v>
      </c>
      <c r="E226" s="11">
        <v>2</v>
      </c>
      <c r="F226" s="9">
        <v>4</v>
      </c>
      <c r="G226" s="2">
        <v>3</v>
      </c>
      <c r="H22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26" s="19">
        <f>Clients[[#This Row],[Facture_Mensuelle]]*Clients[[#This Row],[Remise]]</f>
        <v>12.0375</v>
      </c>
    </row>
    <row r="227" spans="1:9" x14ac:dyDescent="0.25">
      <c r="A227" s="2" t="s">
        <v>260</v>
      </c>
      <c r="B227" s="2" t="s">
        <v>6</v>
      </c>
      <c r="C227" s="2" t="s">
        <v>19</v>
      </c>
      <c r="D227" s="3">
        <v>28.46</v>
      </c>
      <c r="E227" s="11">
        <v>6</v>
      </c>
      <c r="F227" s="9">
        <v>4</v>
      </c>
      <c r="G227" s="2">
        <v>3</v>
      </c>
      <c r="H22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27" s="19">
        <f>Clients[[#This Row],[Facture_Mensuelle]]*Clients[[#This Row],[Remise]]</f>
        <v>12.807</v>
      </c>
    </row>
    <row r="228" spans="1:9" x14ac:dyDescent="0.25">
      <c r="A228" s="2" t="s">
        <v>261</v>
      </c>
      <c r="B228" s="2" t="s">
        <v>6</v>
      </c>
      <c r="C228" s="2" t="s">
        <v>10</v>
      </c>
      <c r="D228" s="3">
        <v>37.799999999999997</v>
      </c>
      <c r="E228" s="11">
        <v>0</v>
      </c>
      <c r="F228" s="9">
        <v>2</v>
      </c>
      <c r="G228" s="2">
        <v>0</v>
      </c>
      <c r="H22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28" s="19">
        <f>Clients[[#This Row],[Facture_Mensuelle]]*Clients[[#This Row],[Remise]]</f>
        <v>3.78</v>
      </c>
    </row>
    <row r="229" spans="1:9" x14ac:dyDescent="0.25">
      <c r="A229" s="2" t="s">
        <v>262</v>
      </c>
      <c r="B229" s="2" t="s">
        <v>9</v>
      </c>
      <c r="C229" s="2" t="s">
        <v>10</v>
      </c>
      <c r="D229" s="3">
        <v>31.36</v>
      </c>
      <c r="E229" s="11">
        <v>9</v>
      </c>
      <c r="F229" s="9">
        <v>8</v>
      </c>
      <c r="G229" s="2">
        <v>0</v>
      </c>
      <c r="H22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29" s="19">
        <f>Clients[[#This Row],[Facture_Mensuelle]]*Clients[[#This Row],[Remise]]</f>
        <v>14.112</v>
      </c>
    </row>
    <row r="230" spans="1:9" x14ac:dyDescent="0.25">
      <c r="A230" s="2" t="s">
        <v>263</v>
      </c>
      <c r="B230" s="2" t="s">
        <v>57</v>
      </c>
      <c r="C230" s="2" t="s">
        <v>7</v>
      </c>
      <c r="D230" s="3">
        <v>39.58</v>
      </c>
      <c r="E230" s="11">
        <v>4</v>
      </c>
      <c r="F230" s="9">
        <v>2</v>
      </c>
      <c r="G230" s="2">
        <v>0</v>
      </c>
      <c r="H23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30" s="19">
        <f>Clients[[#This Row],[Facture_Mensuelle]]*Clients[[#This Row],[Remise]]</f>
        <v>0</v>
      </c>
    </row>
    <row r="231" spans="1:9" x14ac:dyDescent="0.25">
      <c r="A231" s="2" t="s">
        <v>264</v>
      </c>
      <c r="B231" s="2" t="s">
        <v>22</v>
      </c>
      <c r="C231" s="2" t="s">
        <v>7</v>
      </c>
      <c r="D231" s="3">
        <v>47.82</v>
      </c>
      <c r="E231" s="11">
        <v>10</v>
      </c>
      <c r="F231" s="9">
        <v>8</v>
      </c>
      <c r="G231" s="2">
        <v>5</v>
      </c>
      <c r="H23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31" s="19">
        <f>Clients[[#This Row],[Facture_Mensuelle]]*Clients[[#This Row],[Remise]]</f>
        <v>21.519000000000002</v>
      </c>
    </row>
    <row r="232" spans="1:9" x14ac:dyDescent="0.25">
      <c r="A232" s="2" t="s">
        <v>265</v>
      </c>
      <c r="B232" s="2" t="s">
        <v>105</v>
      </c>
      <c r="C232" s="2" t="s">
        <v>10</v>
      </c>
      <c r="D232" s="3">
        <v>85.82</v>
      </c>
      <c r="E232" s="11">
        <v>7</v>
      </c>
      <c r="F232" s="9">
        <v>4</v>
      </c>
      <c r="G232" s="2">
        <v>5</v>
      </c>
      <c r="H23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32" s="19">
        <f>Clients[[#This Row],[Facture_Mensuelle]]*Clients[[#This Row],[Remise]]</f>
        <v>38.619</v>
      </c>
    </row>
    <row r="233" spans="1:9" x14ac:dyDescent="0.25">
      <c r="A233" s="2" t="s">
        <v>266</v>
      </c>
      <c r="B233" s="2" t="s">
        <v>59</v>
      </c>
      <c r="C233" s="2" t="s">
        <v>10</v>
      </c>
      <c r="D233" s="3">
        <v>62.34</v>
      </c>
      <c r="E233" s="11">
        <v>1</v>
      </c>
      <c r="F233" s="9">
        <v>5</v>
      </c>
      <c r="G233" s="2">
        <v>4</v>
      </c>
      <c r="H23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33" s="19">
        <f>Clients[[#This Row],[Facture_Mensuelle]]*Clients[[#This Row],[Remise]]</f>
        <v>28.053000000000001</v>
      </c>
    </row>
    <row r="234" spans="1:9" x14ac:dyDescent="0.25">
      <c r="A234" s="2" t="s">
        <v>267</v>
      </c>
      <c r="B234" s="2" t="s">
        <v>9</v>
      </c>
      <c r="C234" s="2" t="s">
        <v>13</v>
      </c>
      <c r="D234" s="3">
        <v>98.67</v>
      </c>
      <c r="E234" s="11">
        <v>3</v>
      </c>
      <c r="F234" s="9">
        <v>7</v>
      </c>
      <c r="G234" s="2">
        <v>5</v>
      </c>
      <c r="H23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34" s="19">
        <f>Clients[[#This Row],[Facture_Mensuelle]]*Clients[[#This Row],[Remise]]</f>
        <v>44.401499999999999</v>
      </c>
    </row>
    <row r="235" spans="1:9" x14ac:dyDescent="0.25">
      <c r="A235" s="2" t="s">
        <v>268</v>
      </c>
      <c r="B235" s="2" t="s">
        <v>69</v>
      </c>
      <c r="C235" s="2" t="s">
        <v>13</v>
      </c>
      <c r="D235" s="3">
        <v>21.49</v>
      </c>
      <c r="E235" s="11">
        <v>7</v>
      </c>
      <c r="F235" s="9">
        <v>7</v>
      </c>
      <c r="G235" s="2">
        <v>0</v>
      </c>
      <c r="H23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35" s="19">
        <f>Clients[[#This Row],[Facture_Mensuelle]]*Clients[[#This Row],[Remise]]</f>
        <v>9.6704999999999988</v>
      </c>
    </row>
    <row r="236" spans="1:9" x14ac:dyDescent="0.25">
      <c r="A236" s="2" t="s">
        <v>269</v>
      </c>
      <c r="B236" s="2" t="s">
        <v>28</v>
      </c>
      <c r="C236" s="2" t="s">
        <v>10</v>
      </c>
      <c r="D236" s="3">
        <v>80.680000000000007</v>
      </c>
      <c r="E236" s="11">
        <v>7</v>
      </c>
      <c r="F236" s="9">
        <v>3</v>
      </c>
      <c r="G236" s="2">
        <v>5</v>
      </c>
      <c r="H23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36" s="19">
        <f>Clients[[#This Row],[Facture_Mensuelle]]*Clients[[#This Row],[Remise]]</f>
        <v>8.0680000000000014</v>
      </c>
    </row>
    <row r="237" spans="1:9" x14ac:dyDescent="0.25">
      <c r="A237" s="2" t="s">
        <v>270</v>
      </c>
      <c r="B237" s="2" t="s">
        <v>38</v>
      </c>
      <c r="C237" s="2" t="s">
        <v>7</v>
      </c>
      <c r="D237" s="3">
        <v>97.98</v>
      </c>
      <c r="E237" s="11">
        <v>2</v>
      </c>
      <c r="F237" s="9">
        <v>5</v>
      </c>
      <c r="G237" s="2">
        <v>1</v>
      </c>
      <c r="H23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37" s="19">
        <f>Clients[[#This Row],[Facture_Mensuelle]]*Clients[[#This Row],[Remise]]</f>
        <v>44.091000000000001</v>
      </c>
    </row>
    <row r="238" spans="1:9" x14ac:dyDescent="0.25">
      <c r="A238" s="2" t="s">
        <v>271</v>
      </c>
      <c r="B238" s="2" t="s">
        <v>48</v>
      </c>
      <c r="C238" s="2" t="s">
        <v>13</v>
      </c>
      <c r="D238" s="3">
        <v>17</v>
      </c>
      <c r="E238" s="11">
        <v>1</v>
      </c>
      <c r="F238" s="9">
        <v>2</v>
      </c>
      <c r="G238" s="2">
        <v>2</v>
      </c>
      <c r="H23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38" s="19">
        <f>Clients[[#This Row],[Facture_Mensuelle]]*Clients[[#This Row],[Remise]]</f>
        <v>0</v>
      </c>
    </row>
    <row r="239" spans="1:9" x14ac:dyDescent="0.25">
      <c r="A239" s="2" t="s">
        <v>272</v>
      </c>
      <c r="B239" s="2" t="s">
        <v>18</v>
      </c>
      <c r="C239" s="2" t="s">
        <v>13</v>
      </c>
      <c r="D239" s="3">
        <v>90.78</v>
      </c>
      <c r="E239" s="11">
        <v>8</v>
      </c>
      <c r="F239" s="9">
        <v>6</v>
      </c>
      <c r="G239" s="2">
        <v>2</v>
      </c>
      <c r="H23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39" s="19">
        <f>Clients[[#This Row],[Facture_Mensuelle]]*Clients[[#This Row],[Remise]]</f>
        <v>40.850999999999999</v>
      </c>
    </row>
    <row r="240" spans="1:9" x14ac:dyDescent="0.25">
      <c r="A240" s="2" t="s">
        <v>273</v>
      </c>
      <c r="B240" s="2" t="s">
        <v>12</v>
      </c>
      <c r="C240" s="2" t="s">
        <v>7</v>
      </c>
      <c r="D240" s="3">
        <v>24.46</v>
      </c>
      <c r="E240" s="11">
        <v>10</v>
      </c>
      <c r="F240" s="9">
        <v>0</v>
      </c>
      <c r="G240" s="2">
        <v>3</v>
      </c>
      <c r="H24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40" s="19">
        <f>Clients[[#This Row],[Facture_Mensuelle]]*Clients[[#This Row],[Remise]]</f>
        <v>0</v>
      </c>
    </row>
    <row r="241" spans="1:9" x14ac:dyDescent="0.25">
      <c r="A241" s="2" t="s">
        <v>274</v>
      </c>
      <c r="B241" s="2" t="s">
        <v>32</v>
      </c>
      <c r="C241" s="2" t="s">
        <v>7</v>
      </c>
      <c r="D241" s="3">
        <v>72.430000000000007</v>
      </c>
      <c r="E241" s="11">
        <v>5</v>
      </c>
      <c r="F241" s="9">
        <v>2</v>
      </c>
      <c r="G241" s="2">
        <v>1</v>
      </c>
      <c r="H24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41" s="19">
        <f>Clients[[#This Row],[Facture_Mensuelle]]*Clients[[#This Row],[Remise]]</f>
        <v>0</v>
      </c>
    </row>
    <row r="242" spans="1:9" x14ac:dyDescent="0.25">
      <c r="A242" s="2" t="s">
        <v>275</v>
      </c>
      <c r="B242" s="2" t="s">
        <v>42</v>
      </c>
      <c r="C242" s="2" t="s">
        <v>10</v>
      </c>
      <c r="D242" s="3">
        <v>32.35</v>
      </c>
      <c r="E242" s="11">
        <v>1</v>
      </c>
      <c r="F242" s="9">
        <v>6</v>
      </c>
      <c r="G242" s="2">
        <v>2</v>
      </c>
      <c r="H24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42" s="19">
        <f>Clients[[#This Row],[Facture_Mensuelle]]*Clients[[#This Row],[Remise]]</f>
        <v>14.557500000000001</v>
      </c>
    </row>
    <row r="243" spans="1:9" x14ac:dyDescent="0.25">
      <c r="A243" s="2" t="s">
        <v>276</v>
      </c>
      <c r="B243" s="2" t="s">
        <v>57</v>
      </c>
      <c r="C243" s="2" t="s">
        <v>10</v>
      </c>
      <c r="D243" s="3">
        <v>29.07</v>
      </c>
      <c r="E243" s="11">
        <v>10</v>
      </c>
      <c r="F243" s="9">
        <v>1</v>
      </c>
      <c r="G243" s="2">
        <v>3</v>
      </c>
      <c r="H24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43" s="19">
        <f>Clients[[#This Row],[Facture_Mensuelle]]*Clients[[#This Row],[Remise]]</f>
        <v>2.907</v>
      </c>
    </row>
    <row r="244" spans="1:9" x14ac:dyDescent="0.25">
      <c r="A244" s="2" t="s">
        <v>277</v>
      </c>
      <c r="B244" s="2" t="s">
        <v>46</v>
      </c>
      <c r="C244" s="2" t="s">
        <v>19</v>
      </c>
      <c r="D244" s="3">
        <v>29.15</v>
      </c>
      <c r="E244" s="11">
        <v>10</v>
      </c>
      <c r="F244" s="9">
        <v>5</v>
      </c>
      <c r="G244" s="2">
        <v>3</v>
      </c>
      <c r="H24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44" s="19">
        <f>Clients[[#This Row],[Facture_Mensuelle]]*Clients[[#This Row],[Remise]]</f>
        <v>13.1175</v>
      </c>
    </row>
    <row r="245" spans="1:9" x14ac:dyDescent="0.25">
      <c r="A245" s="2" t="s">
        <v>278</v>
      </c>
      <c r="B245" s="2" t="s">
        <v>44</v>
      </c>
      <c r="C245" s="2" t="s">
        <v>7</v>
      </c>
      <c r="D245" s="3">
        <v>18.39</v>
      </c>
      <c r="E245" s="11">
        <v>5</v>
      </c>
      <c r="F245" s="9">
        <v>7</v>
      </c>
      <c r="G245" s="2">
        <v>0</v>
      </c>
      <c r="H24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45" s="19">
        <f>Clients[[#This Row],[Facture_Mensuelle]]*Clients[[#This Row],[Remise]]</f>
        <v>8.275500000000001</v>
      </c>
    </row>
    <row r="246" spans="1:9" x14ac:dyDescent="0.25">
      <c r="A246" s="2" t="s">
        <v>279</v>
      </c>
      <c r="B246" s="2" t="s">
        <v>57</v>
      </c>
      <c r="C246" s="2" t="s">
        <v>13</v>
      </c>
      <c r="D246" s="3">
        <v>70.09</v>
      </c>
      <c r="E246" s="11">
        <v>8</v>
      </c>
      <c r="F246" s="9">
        <v>4</v>
      </c>
      <c r="G246" s="2">
        <v>3</v>
      </c>
      <c r="H24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46" s="19">
        <f>Clients[[#This Row],[Facture_Mensuelle]]*Clients[[#This Row],[Remise]]</f>
        <v>31.540500000000002</v>
      </c>
    </row>
    <row r="247" spans="1:9" x14ac:dyDescent="0.25">
      <c r="A247" s="2" t="s">
        <v>280</v>
      </c>
      <c r="B247" s="2" t="s">
        <v>44</v>
      </c>
      <c r="C247" s="2" t="s">
        <v>13</v>
      </c>
      <c r="D247" s="3">
        <v>36.94</v>
      </c>
      <c r="E247" s="11">
        <v>6</v>
      </c>
      <c r="F247" s="9">
        <v>4</v>
      </c>
      <c r="G247" s="2">
        <v>5</v>
      </c>
      <c r="H24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47" s="19">
        <f>Clients[[#This Row],[Facture_Mensuelle]]*Clients[[#This Row],[Remise]]</f>
        <v>16.623000000000001</v>
      </c>
    </row>
    <row r="248" spans="1:9" x14ac:dyDescent="0.25">
      <c r="A248" s="2" t="s">
        <v>281</v>
      </c>
      <c r="B248" s="2" t="s">
        <v>12</v>
      </c>
      <c r="C248" s="2" t="s">
        <v>13</v>
      </c>
      <c r="D248" s="3">
        <v>74.569999999999993</v>
      </c>
      <c r="E248" s="11">
        <v>4</v>
      </c>
      <c r="F248" s="9">
        <v>3</v>
      </c>
      <c r="G248" s="2">
        <v>4</v>
      </c>
      <c r="H24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48" s="19">
        <f>Clients[[#This Row],[Facture_Mensuelle]]*Clients[[#This Row],[Remise]]</f>
        <v>0</v>
      </c>
    </row>
    <row r="249" spans="1:9" x14ac:dyDescent="0.25">
      <c r="A249" s="2" t="s">
        <v>282</v>
      </c>
      <c r="B249" s="2" t="s">
        <v>28</v>
      </c>
      <c r="C249" s="2" t="s">
        <v>13</v>
      </c>
      <c r="D249" s="3">
        <v>88.59</v>
      </c>
      <c r="E249" s="11">
        <v>2</v>
      </c>
      <c r="F249" s="9">
        <v>6</v>
      </c>
      <c r="G249" s="2">
        <v>4</v>
      </c>
      <c r="H24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49" s="19">
        <f>Clients[[#This Row],[Facture_Mensuelle]]*Clients[[#This Row],[Remise]]</f>
        <v>39.865500000000004</v>
      </c>
    </row>
    <row r="250" spans="1:9" x14ac:dyDescent="0.25">
      <c r="A250" s="2" t="s">
        <v>283</v>
      </c>
      <c r="B250" s="2" t="s">
        <v>42</v>
      </c>
      <c r="C250" s="2" t="s">
        <v>19</v>
      </c>
      <c r="D250" s="3">
        <v>18.28</v>
      </c>
      <c r="E250" s="11">
        <v>2</v>
      </c>
      <c r="F250" s="9">
        <v>7</v>
      </c>
      <c r="G250" s="2">
        <v>3</v>
      </c>
      <c r="H25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0" s="19">
        <f>Clients[[#This Row],[Facture_Mensuelle]]*Clients[[#This Row],[Remise]]</f>
        <v>8.2260000000000009</v>
      </c>
    </row>
    <row r="251" spans="1:9" x14ac:dyDescent="0.25">
      <c r="A251" s="2" t="s">
        <v>284</v>
      </c>
      <c r="B251" s="2" t="s">
        <v>15</v>
      </c>
      <c r="C251" s="2" t="s">
        <v>10</v>
      </c>
      <c r="D251" s="3">
        <v>26.24</v>
      </c>
      <c r="E251" s="11">
        <v>9</v>
      </c>
      <c r="F251" s="9">
        <v>7</v>
      </c>
      <c r="G251" s="2">
        <v>3</v>
      </c>
      <c r="H25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1" s="19">
        <f>Clients[[#This Row],[Facture_Mensuelle]]*Clients[[#This Row],[Remise]]</f>
        <v>11.808</v>
      </c>
    </row>
    <row r="252" spans="1:9" x14ac:dyDescent="0.25">
      <c r="A252" s="2" t="s">
        <v>285</v>
      </c>
      <c r="B252" s="2" t="s">
        <v>24</v>
      </c>
      <c r="C252" s="2" t="s">
        <v>19</v>
      </c>
      <c r="D252" s="3">
        <v>16.3</v>
      </c>
      <c r="E252" s="11">
        <v>9</v>
      </c>
      <c r="F252" s="9">
        <v>4</v>
      </c>
      <c r="G252" s="2">
        <v>5</v>
      </c>
      <c r="H25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2" s="19">
        <f>Clients[[#This Row],[Facture_Mensuelle]]*Clients[[#This Row],[Remise]]</f>
        <v>7.3350000000000009</v>
      </c>
    </row>
    <row r="253" spans="1:9" x14ac:dyDescent="0.25">
      <c r="A253" s="2" t="s">
        <v>286</v>
      </c>
      <c r="B253" s="2" t="s">
        <v>24</v>
      </c>
      <c r="C253" s="2" t="s">
        <v>10</v>
      </c>
      <c r="D253" s="3">
        <v>67.87</v>
      </c>
      <c r="E253" s="11">
        <v>9</v>
      </c>
      <c r="F253" s="9">
        <v>4</v>
      </c>
      <c r="G253" s="2">
        <v>3</v>
      </c>
      <c r="H25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3" s="19">
        <f>Clients[[#This Row],[Facture_Mensuelle]]*Clients[[#This Row],[Remise]]</f>
        <v>30.541500000000003</v>
      </c>
    </row>
    <row r="254" spans="1:9" x14ac:dyDescent="0.25">
      <c r="A254" s="2" t="s">
        <v>287</v>
      </c>
      <c r="B254" s="2" t="s">
        <v>97</v>
      </c>
      <c r="C254" s="2" t="s">
        <v>10</v>
      </c>
      <c r="D254" s="3">
        <v>96.31</v>
      </c>
      <c r="E254" s="11">
        <v>8</v>
      </c>
      <c r="F254" s="9">
        <v>1</v>
      </c>
      <c r="G254" s="2">
        <v>4</v>
      </c>
      <c r="H25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54" s="19">
        <f>Clients[[#This Row],[Facture_Mensuelle]]*Clients[[#This Row],[Remise]]</f>
        <v>9.6310000000000002</v>
      </c>
    </row>
    <row r="255" spans="1:9" x14ac:dyDescent="0.25">
      <c r="A255" s="2" t="s">
        <v>288</v>
      </c>
      <c r="B255" s="2" t="s">
        <v>30</v>
      </c>
      <c r="C255" s="2" t="s">
        <v>19</v>
      </c>
      <c r="D255" s="3">
        <v>75.680000000000007</v>
      </c>
      <c r="E255" s="11">
        <v>7</v>
      </c>
      <c r="F255" s="9">
        <v>8</v>
      </c>
      <c r="G255" s="2">
        <v>0</v>
      </c>
      <c r="H25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5" s="19">
        <f>Clients[[#This Row],[Facture_Mensuelle]]*Clients[[#This Row],[Remise]]</f>
        <v>34.056000000000004</v>
      </c>
    </row>
    <row r="256" spans="1:9" x14ac:dyDescent="0.25">
      <c r="A256" s="2" t="s">
        <v>289</v>
      </c>
      <c r="B256" s="2" t="s">
        <v>57</v>
      </c>
      <c r="C256" s="2" t="s">
        <v>13</v>
      </c>
      <c r="D256" s="3">
        <v>41.33</v>
      </c>
      <c r="E256" s="11">
        <v>4</v>
      </c>
      <c r="F256" s="9">
        <v>6</v>
      </c>
      <c r="G256" s="2">
        <v>0</v>
      </c>
      <c r="H25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6" s="19">
        <f>Clients[[#This Row],[Facture_Mensuelle]]*Clients[[#This Row],[Remise]]</f>
        <v>18.598500000000001</v>
      </c>
    </row>
    <row r="257" spans="1:9" x14ac:dyDescent="0.25">
      <c r="A257" s="2" t="s">
        <v>290</v>
      </c>
      <c r="B257" s="2" t="s">
        <v>9</v>
      </c>
      <c r="C257" s="2" t="s">
        <v>19</v>
      </c>
      <c r="D257" s="3">
        <v>20.46</v>
      </c>
      <c r="E257" s="11">
        <v>7</v>
      </c>
      <c r="F257" s="9">
        <v>2</v>
      </c>
      <c r="G257" s="2">
        <v>1</v>
      </c>
      <c r="H25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57" s="19">
        <f>Clients[[#This Row],[Facture_Mensuelle]]*Clients[[#This Row],[Remise]]</f>
        <v>0</v>
      </c>
    </row>
    <row r="258" spans="1:9" x14ac:dyDescent="0.25">
      <c r="A258" s="2" t="s">
        <v>291</v>
      </c>
      <c r="B258" s="2" t="s">
        <v>46</v>
      </c>
      <c r="C258" s="2" t="s">
        <v>7</v>
      </c>
      <c r="D258" s="3">
        <v>36.200000000000003</v>
      </c>
      <c r="E258" s="11">
        <v>7</v>
      </c>
      <c r="F258" s="9">
        <v>5</v>
      </c>
      <c r="G258" s="2">
        <v>3</v>
      </c>
      <c r="H25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8" s="19">
        <f>Clients[[#This Row],[Facture_Mensuelle]]*Clients[[#This Row],[Remise]]</f>
        <v>16.290000000000003</v>
      </c>
    </row>
    <row r="259" spans="1:9" x14ac:dyDescent="0.25">
      <c r="A259" s="2" t="s">
        <v>292</v>
      </c>
      <c r="B259" s="2" t="s">
        <v>65</v>
      </c>
      <c r="C259" s="2" t="s">
        <v>19</v>
      </c>
      <c r="D259" s="3">
        <v>61.55</v>
      </c>
      <c r="E259" s="11">
        <v>0</v>
      </c>
      <c r="F259" s="9">
        <v>3</v>
      </c>
      <c r="G259" s="2">
        <v>0</v>
      </c>
      <c r="H25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59" s="19">
        <f>Clients[[#This Row],[Facture_Mensuelle]]*Clients[[#This Row],[Remise]]</f>
        <v>27.697499999999998</v>
      </c>
    </row>
    <row r="260" spans="1:9" x14ac:dyDescent="0.25">
      <c r="A260" s="2" t="s">
        <v>293</v>
      </c>
      <c r="B260" s="2" t="s">
        <v>30</v>
      </c>
      <c r="C260" s="2" t="s">
        <v>19</v>
      </c>
      <c r="D260" s="3">
        <v>96.59</v>
      </c>
      <c r="E260" s="11">
        <v>3</v>
      </c>
      <c r="F260" s="9">
        <v>2</v>
      </c>
      <c r="G260" s="2">
        <v>5</v>
      </c>
      <c r="H26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60" s="19">
        <f>Clients[[#This Row],[Facture_Mensuelle]]*Clients[[#This Row],[Remise]]</f>
        <v>43.465500000000006</v>
      </c>
    </row>
    <row r="261" spans="1:9" x14ac:dyDescent="0.25">
      <c r="A261" s="2" t="s">
        <v>294</v>
      </c>
      <c r="B261" s="2" t="s">
        <v>12</v>
      </c>
      <c r="C261" s="2" t="s">
        <v>13</v>
      </c>
      <c r="D261" s="3">
        <v>69.19</v>
      </c>
      <c r="E261" s="11">
        <v>4</v>
      </c>
      <c r="F261" s="9">
        <v>3</v>
      </c>
      <c r="G261" s="2">
        <v>4</v>
      </c>
      <c r="H26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61" s="19">
        <f>Clients[[#This Row],[Facture_Mensuelle]]*Clients[[#This Row],[Remise]]</f>
        <v>0</v>
      </c>
    </row>
    <row r="262" spans="1:9" x14ac:dyDescent="0.25">
      <c r="A262" s="2" t="s">
        <v>295</v>
      </c>
      <c r="B262" s="2" t="s">
        <v>32</v>
      </c>
      <c r="C262" s="2" t="s">
        <v>7</v>
      </c>
      <c r="D262" s="3">
        <v>68.67</v>
      </c>
      <c r="E262" s="11">
        <v>4</v>
      </c>
      <c r="F262" s="9">
        <v>6</v>
      </c>
      <c r="G262" s="2">
        <v>5</v>
      </c>
      <c r="H26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62" s="19">
        <f>Clients[[#This Row],[Facture_Mensuelle]]*Clients[[#This Row],[Remise]]</f>
        <v>30.901500000000002</v>
      </c>
    </row>
    <row r="263" spans="1:9" x14ac:dyDescent="0.25">
      <c r="A263" s="2" t="s">
        <v>296</v>
      </c>
      <c r="B263" s="2" t="s">
        <v>9</v>
      </c>
      <c r="C263" s="2" t="s">
        <v>13</v>
      </c>
      <c r="D263" s="3">
        <v>83.1</v>
      </c>
      <c r="E263" s="11">
        <v>9</v>
      </c>
      <c r="F263" s="9">
        <v>2</v>
      </c>
      <c r="G263" s="2">
        <v>1</v>
      </c>
      <c r="H26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63" s="19">
        <f>Clients[[#This Row],[Facture_Mensuelle]]*Clients[[#This Row],[Remise]]</f>
        <v>0</v>
      </c>
    </row>
    <row r="264" spans="1:9" x14ac:dyDescent="0.25">
      <c r="A264" s="2" t="s">
        <v>297</v>
      </c>
      <c r="B264" s="2" t="s">
        <v>38</v>
      </c>
      <c r="C264" s="2" t="s">
        <v>19</v>
      </c>
      <c r="D264" s="3">
        <v>54.28</v>
      </c>
      <c r="E264" s="11">
        <v>9</v>
      </c>
      <c r="F264" s="9">
        <v>1</v>
      </c>
      <c r="G264" s="2">
        <v>0</v>
      </c>
      <c r="H26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64" s="19">
        <f>Clients[[#This Row],[Facture_Mensuelle]]*Clients[[#This Row],[Remise]]</f>
        <v>0</v>
      </c>
    </row>
    <row r="265" spans="1:9" x14ac:dyDescent="0.25">
      <c r="A265" s="2" t="s">
        <v>298</v>
      </c>
      <c r="B265" s="2" t="s">
        <v>24</v>
      </c>
      <c r="C265" s="2" t="s">
        <v>7</v>
      </c>
      <c r="D265" s="3">
        <v>83.49</v>
      </c>
      <c r="E265" s="11">
        <v>8</v>
      </c>
      <c r="F265" s="9">
        <v>7</v>
      </c>
      <c r="G265" s="2">
        <v>2</v>
      </c>
      <c r="H26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65" s="19">
        <f>Clients[[#This Row],[Facture_Mensuelle]]*Clients[[#This Row],[Remise]]</f>
        <v>37.570499999999996</v>
      </c>
    </row>
    <row r="266" spans="1:9" x14ac:dyDescent="0.25">
      <c r="A266" s="2" t="s">
        <v>299</v>
      </c>
      <c r="B266" s="2" t="s">
        <v>65</v>
      </c>
      <c r="C266" s="2" t="s">
        <v>19</v>
      </c>
      <c r="D266" s="3">
        <v>39.56</v>
      </c>
      <c r="E266" s="11">
        <v>6</v>
      </c>
      <c r="F266" s="9">
        <v>3</v>
      </c>
      <c r="G266" s="2">
        <v>0</v>
      </c>
      <c r="H26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66" s="19">
        <f>Clients[[#This Row],[Facture_Mensuelle]]*Clients[[#This Row],[Remise]]</f>
        <v>0</v>
      </c>
    </row>
    <row r="267" spans="1:9" x14ac:dyDescent="0.25">
      <c r="A267" s="2" t="s">
        <v>300</v>
      </c>
      <c r="B267" s="2" t="s">
        <v>44</v>
      </c>
      <c r="C267" s="2" t="s">
        <v>7</v>
      </c>
      <c r="D267" s="3">
        <v>78.12</v>
      </c>
      <c r="E267" s="11">
        <v>1</v>
      </c>
      <c r="F267" s="9">
        <v>2</v>
      </c>
      <c r="G267" s="2">
        <v>4</v>
      </c>
      <c r="H26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67" s="19">
        <f>Clients[[#This Row],[Facture_Mensuelle]]*Clients[[#This Row],[Remise]]</f>
        <v>0</v>
      </c>
    </row>
    <row r="268" spans="1:9" x14ac:dyDescent="0.25">
      <c r="A268" s="2" t="s">
        <v>301</v>
      </c>
      <c r="B268" s="2" t="s">
        <v>6</v>
      </c>
      <c r="C268" s="2" t="s">
        <v>19</v>
      </c>
      <c r="D268" s="3">
        <v>90.12</v>
      </c>
      <c r="E268" s="11">
        <v>1</v>
      </c>
      <c r="F268" s="9">
        <v>7</v>
      </c>
      <c r="G268" s="2">
        <v>5</v>
      </c>
      <c r="H26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68" s="19">
        <f>Clients[[#This Row],[Facture_Mensuelle]]*Clients[[#This Row],[Remise]]</f>
        <v>40.554000000000002</v>
      </c>
    </row>
    <row r="269" spans="1:9" x14ac:dyDescent="0.25">
      <c r="A269" s="2" t="s">
        <v>302</v>
      </c>
      <c r="B269" s="2" t="s">
        <v>40</v>
      </c>
      <c r="C269" s="2" t="s">
        <v>10</v>
      </c>
      <c r="D269" s="3">
        <v>94.51</v>
      </c>
      <c r="E269" s="11">
        <v>5</v>
      </c>
      <c r="F269" s="9">
        <v>1</v>
      </c>
      <c r="G269" s="2">
        <v>2</v>
      </c>
      <c r="H26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69" s="19">
        <f>Clients[[#This Row],[Facture_Mensuelle]]*Clients[[#This Row],[Remise]]</f>
        <v>9.4510000000000005</v>
      </c>
    </row>
    <row r="270" spans="1:9" x14ac:dyDescent="0.25">
      <c r="A270" s="2" t="s">
        <v>303</v>
      </c>
      <c r="B270" s="2" t="s">
        <v>28</v>
      </c>
      <c r="C270" s="2" t="s">
        <v>10</v>
      </c>
      <c r="D270" s="3">
        <v>54.03</v>
      </c>
      <c r="E270" s="11">
        <v>3</v>
      </c>
      <c r="F270" s="9">
        <v>8</v>
      </c>
      <c r="G270" s="2">
        <v>4</v>
      </c>
      <c r="H27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70" s="19">
        <f>Clients[[#This Row],[Facture_Mensuelle]]*Clients[[#This Row],[Remise]]</f>
        <v>24.313500000000001</v>
      </c>
    </row>
    <row r="271" spans="1:9" x14ac:dyDescent="0.25">
      <c r="A271" s="2" t="s">
        <v>304</v>
      </c>
      <c r="B271" s="2" t="s">
        <v>32</v>
      </c>
      <c r="C271" s="2" t="s">
        <v>13</v>
      </c>
      <c r="D271" s="3">
        <v>21.07</v>
      </c>
      <c r="E271" s="11">
        <v>0</v>
      </c>
      <c r="F271" s="9">
        <v>6</v>
      </c>
      <c r="G271" s="2">
        <v>4</v>
      </c>
      <c r="H27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71" s="19">
        <f>Clients[[#This Row],[Facture_Mensuelle]]*Clients[[#This Row],[Remise]]</f>
        <v>9.4815000000000005</v>
      </c>
    </row>
    <row r="272" spans="1:9" x14ac:dyDescent="0.25">
      <c r="A272" s="2" t="s">
        <v>305</v>
      </c>
      <c r="B272" s="2" t="s">
        <v>72</v>
      </c>
      <c r="C272" s="2" t="s">
        <v>13</v>
      </c>
      <c r="D272" s="3">
        <v>36.97</v>
      </c>
      <c r="E272" s="11">
        <v>10</v>
      </c>
      <c r="F272" s="9">
        <v>7</v>
      </c>
      <c r="G272" s="2">
        <v>2</v>
      </c>
      <c r="H27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72" s="19">
        <f>Clients[[#This Row],[Facture_Mensuelle]]*Clients[[#This Row],[Remise]]</f>
        <v>16.636500000000002</v>
      </c>
    </row>
    <row r="273" spans="1:9" x14ac:dyDescent="0.25">
      <c r="A273" s="2" t="s">
        <v>306</v>
      </c>
      <c r="B273" s="2" t="s">
        <v>9</v>
      </c>
      <c r="C273" s="2" t="s">
        <v>19</v>
      </c>
      <c r="D273" s="3">
        <v>55.19</v>
      </c>
      <c r="E273" s="11">
        <v>4</v>
      </c>
      <c r="F273" s="9">
        <v>4</v>
      </c>
      <c r="G273" s="2">
        <v>4</v>
      </c>
      <c r="H27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73" s="19">
        <f>Clients[[#This Row],[Facture_Mensuelle]]*Clients[[#This Row],[Remise]]</f>
        <v>24.8355</v>
      </c>
    </row>
    <row r="274" spans="1:9" x14ac:dyDescent="0.25">
      <c r="A274" s="2" t="s">
        <v>307</v>
      </c>
      <c r="B274" s="2" t="s">
        <v>97</v>
      </c>
      <c r="C274" s="2" t="s">
        <v>10</v>
      </c>
      <c r="D274" s="3">
        <v>82.65</v>
      </c>
      <c r="E274" s="11">
        <v>8</v>
      </c>
      <c r="F274" s="9">
        <v>2</v>
      </c>
      <c r="G274" s="2">
        <v>2</v>
      </c>
      <c r="H27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274" s="19">
        <f>Clients[[#This Row],[Facture_Mensuelle]]*Clients[[#This Row],[Remise]]</f>
        <v>8.2650000000000006</v>
      </c>
    </row>
    <row r="275" spans="1:9" x14ac:dyDescent="0.25">
      <c r="A275" s="2" t="s">
        <v>308</v>
      </c>
      <c r="B275" s="2" t="s">
        <v>97</v>
      </c>
      <c r="C275" s="2" t="s">
        <v>13</v>
      </c>
      <c r="D275" s="3">
        <v>58.07</v>
      </c>
      <c r="E275" s="11">
        <v>7</v>
      </c>
      <c r="F275" s="9">
        <v>0</v>
      </c>
      <c r="G275" s="2">
        <v>3</v>
      </c>
      <c r="H27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75" s="19">
        <f>Clients[[#This Row],[Facture_Mensuelle]]*Clients[[#This Row],[Remise]]</f>
        <v>0</v>
      </c>
    </row>
    <row r="276" spans="1:9" x14ac:dyDescent="0.25">
      <c r="A276" s="2" t="s">
        <v>309</v>
      </c>
      <c r="B276" s="2" t="s">
        <v>32</v>
      </c>
      <c r="C276" s="2" t="s">
        <v>7</v>
      </c>
      <c r="D276" s="3">
        <v>45.8</v>
      </c>
      <c r="E276" s="11">
        <v>0</v>
      </c>
      <c r="F276" s="9">
        <v>0</v>
      </c>
      <c r="G276" s="2">
        <v>1</v>
      </c>
      <c r="H27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76" s="19">
        <f>Clients[[#This Row],[Facture_Mensuelle]]*Clients[[#This Row],[Remise]]</f>
        <v>0</v>
      </c>
    </row>
    <row r="277" spans="1:9" x14ac:dyDescent="0.25">
      <c r="A277" s="2" t="s">
        <v>310</v>
      </c>
      <c r="B277" s="2" t="s">
        <v>22</v>
      </c>
      <c r="C277" s="2" t="s">
        <v>10</v>
      </c>
      <c r="D277" s="3">
        <v>96.32</v>
      </c>
      <c r="E277" s="11">
        <v>3</v>
      </c>
      <c r="F277" s="9">
        <v>5</v>
      </c>
      <c r="G277" s="2">
        <v>4</v>
      </c>
      <c r="H27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77" s="19">
        <f>Clients[[#This Row],[Facture_Mensuelle]]*Clients[[#This Row],[Remise]]</f>
        <v>43.344000000000001</v>
      </c>
    </row>
    <row r="278" spans="1:9" x14ac:dyDescent="0.25">
      <c r="A278" s="2" t="s">
        <v>311</v>
      </c>
      <c r="B278" s="2" t="s">
        <v>48</v>
      </c>
      <c r="C278" s="2" t="s">
        <v>7</v>
      </c>
      <c r="D278" s="3">
        <v>61.98</v>
      </c>
      <c r="E278" s="11">
        <v>8</v>
      </c>
      <c r="F278" s="9">
        <v>8</v>
      </c>
      <c r="G278" s="2">
        <v>1</v>
      </c>
      <c r="H27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78" s="19">
        <f>Clients[[#This Row],[Facture_Mensuelle]]*Clients[[#This Row],[Remise]]</f>
        <v>27.890999999999998</v>
      </c>
    </row>
    <row r="279" spans="1:9" x14ac:dyDescent="0.25">
      <c r="A279" s="2" t="s">
        <v>312</v>
      </c>
      <c r="B279" s="2" t="s">
        <v>57</v>
      </c>
      <c r="C279" s="2" t="s">
        <v>13</v>
      </c>
      <c r="D279" s="3">
        <v>53.73</v>
      </c>
      <c r="E279" s="11">
        <v>6</v>
      </c>
      <c r="F279" s="9">
        <v>6</v>
      </c>
      <c r="G279" s="2">
        <v>2</v>
      </c>
      <c r="H27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79" s="19">
        <f>Clients[[#This Row],[Facture_Mensuelle]]*Clients[[#This Row],[Remise]]</f>
        <v>24.1785</v>
      </c>
    </row>
    <row r="280" spans="1:9" x14ac:dyDescent="0.25">
      <c r="A280" s="2" t="s">
        <v>313</v>
      </c>
      <c r="B280" s="2" t="s">
        <v>32</v>
      </c>
      <c r="C280" s="2" t="s">
        <v>19</v>
      </c>
      <c r="D280" s="3">
        <v>85.75</v>
      </c>
      <c r="E280" s="11">
        <v>1</v>
      </c>
      <c r="F280" s="9">
        <v>7</v>
      </c>
      <c r="G280" s="2">
        <v>0</v>
      </c>
      <c r="H28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80" s="19">
        <f>Clients[[#This Row],[Facture_Mensuelle]]*Clients[[#This Row],[Remise]]</f>
        <v>38.587499999999999</v>
      </c>
    </row>
    <row r="281" spans="1:9" x14ac:dyDescent="0.25">
      <c r="A281" s="2" t="s">
        <v>314</v>
      </c>
      <c r="B281" s="2" t="s">
        <v>46</v>
      </c>
      <c r="C281" s="2" t="s">
        <v>10</v>
      </c>
      <c r="D281" s="3">
        <v>41.91</v>
      </c>
      <c r="E281" s="11">
        <v>6</v>
      </c>
      <c r="F281" s="9">
        <v>8</v>
      </c>
      <c r="G281" s="2">
        <v>1</v>
      </c>
      <c r="H28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81" s="19">
        <f>Clients[[#This Row],[Facture_Mensuelle]]*Clients[[#This Row],[Remise]]</f>
        <v>18.859500000000001</v>
      </c>
    </row>
    <row r="282" spans="1:9" x14ac:dyDescent="0.25">
      <c r="A282" s="2" t="s">
        <v>315</v>
      </c>
      <c r="B282" s="2" t="s">
        <v>30</v>
      </c>
      <c r="C282" s="2" t="s">
        <v>7</v>
      </c>
      <c r="D282" s="3">
        <v>56.48</v>
      </c>
      <c r="E282" s="11">
        <v>1</v>
      </c>
      <c r="F282" s="9">
        <v>1</v>
      </c>
      <c r="G282" s="2">
        <v>0</v>
      </c>
      <c r="H28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82" s="19">
        <f>Clients[[#This Row],[Facture_Mensuelle]]*Clients[[#This Row],[Remise]]</f>
        <v>0</v>
      </c>
    </row>
    <row r="283" spans="1:9" x14ac:dyDescent="0.25">
      <c r="A283" s="2" t="s">
        <v>316</v>
      </c>
      <c r="B283" s="2" t="s">
        <v>72</v>
      </c>
      <c r="C283" s="2" t="s">
        <v>10</v>
      </c>
      <c r="D283" s="3">
        <v>63.92</v>
      </c>
      <c r="E283" s="11">
        <v>9</v>
      </c>
      <c r="F283" s="9">
        <v>7</v>
      </c>
      <c r="G283" s="2">
        <v>1</v>
      </c>
      <c r="H28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83" s="19">
        <f>Clients[[#This Row],[Facture_Mensuelle]]*Clients[[#This Row],[Remise]]</f>
        <v>28.764000000000003</v>
      </c>
    </row>
    <row r="284" spans="1:9" x14ac:dyDescent="0.25">
      <c r="A284" s="2" t="s">
        <v>317</v>
      </c>
      <c r="B284" s="2" t="s">
        <v>57</v>
      </c>
      <c r="C284" s="2" t="s">
        <v>19</v>
      </c>
      <c r="D284" s="3">
        <v>76.3</v>
      </c>
      <c r="E284" s="11">
        <v>5</v>
      </c>
      <c r="F284" s="9">
        <v>2</v>
      </c>
      <c r="G284" s="2">
        <v>4</v>
      </c>
      <c r="H28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84" s="19">
        <f>Clients[[#This Row],[Facture_Mensuelle]]*Clients[[#This Row],[Remise]]</f>
        <v>0</v>
      </c>
    </row>
    <row r="285" spans="1:9" x14ac:dyDescent="0.25">
      <c r="A285" s="2" t="s">
        <v>318</v>
      </c>
      <c r="B285" s="2" t="s">
        <v>72</v>
      </c>
      <c r="C285" s="2" t="s">
        <v>10</v>
      </c>
      <c r="D285" s="3">
        <v>80.36</v>
      </c>
      <c r="E285" s="11">
        <v>8</v>
      </c>
      <c r="F285" s="9">
        <v>5</v>
      </c>
      <c r="G285" s="2">
        <v>5</v>
      </c>
      <c r="H28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85" s="19">
        <f>Clients[[#This Row],[Facture_Mensuelle]]*Clients[[#This Row],[Remise]]</f>
        <v>36.161999999999999</v>
      </c>
    </row>
    <row r="286" spans="1:9" x14ac:dyDescent="0.25">
      <c r="A286" s="2" t="s">
        <v>319</v>
      </c>
      <c r="B286" s="2" t="s">
        <v>72</v>
      </c>
      <c r="C286" s="2" t="s">
        <v>7</v>
      </c>
      <c r="D286" s="3">
        <v>30.93</v>
      </c>
      <c r="E286" s="11">
        <v>2</v>
      </c>
      <c r="F286" s="9">
        <v>1</v>
      </c>
      <c r="G286" s="2">
        <v>1</v>
      </c>
      <c r="H28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86" s="19">
        <f>Clients[[#This Row],[Facture_Mensuelle]]*Clients[[#This Row],[Remise]]</f>
        <v>0</v>
      </c>
    </row>
    <row r="287" spans="1:9" x14ac:dyDescent="0.25">
      <c r="A287" s="2" t="s">
        <v>320</v>
      </c>
      <c r="B287" s="2" t="s">
        <v>105</v>
      </c>
      <c r="C287" s="2" t="s">
        <v>13</v>
      </c>
      <c r="D287" s="3">
        <v>12.31</v>
      </c>
      <c r="E287" s="11">
        <v>4</v>
      </c>
      <c r="F287" s="9">
        <v>1</v>
      </c>
      <c r="G287" s="2">
        <v>0</v>
      </c>
      <c r="H28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87" s="19">
        <f>Clients[[#This Row],[Facture_Mensuelle]]*Clients[[#This Row],[Remise]]</f>
        <v>0</v>
      </c>
    </row>
    <row r="288" spans="1:9" x14ac:dyDescent="0.25">
      <c r="A288" s="2" t="s">
        <v>321</v>
      </c>
      <c r="B288" s="2" t="s">
        <v>32</v>
      </c>
      <c r="C288" s="2" t="s">
        <v>13</v>
      </c>
      <c r="D288" s="3">
        <v>10.33</v>
      </c>
      <c r="E288" s="11">
        <v>5</v>
      </c>
      <c r="F288" s="9">
        <v>2</v>
      </c>
      <c r="G288" s="2">
        <v>3</v>
      </c>
      <c r="H28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88" s="19">
        <f>Clients[[#This Row],[Facture_Mensuelle]]*Clients[[#This Row],[Remise]]</f>
        <v>0</v>
      </c>
    </row>
    <row r="289" spans="1:9" x14ac:dyDescent="0.25">
      <c r="A289" s="2" t="s">
        <v>322</v>
      </c>
      <c r="B289" s="2" t="s">
        <v>69</v>
      </c>
      <c r="C289" s="2" t="s">
        <v>13</v>
      </c>
      <c r="D289" s="3">
        <v>97.26</v>
      </c>
      <c r="E289" s="11">
        <v>3</v>
      </c>
      <c r="F289" s="9">
        <v>2</v>
      </c>
      <c r="G289" s="2">
        <v>1</v>
      </c>
      <c r="H28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89" s="19">
        <f>Clients[[#This Row],[Facture_Mensuelle]]*Clients[[#This Row],[Remise]]</f>
        <v>0</v>
      </c>
    </row>
    <row r="290" spans="1:9" x14ac:dyDescent="0.25">
      <c r="A290" s="2" t="s">
        <v>323</v>
      </c>
      <c r="B290" s="2" t="s">
        <v>15</v>
      </c>
      <c r="C290" s="2" t="s">
        <v>13</v>
      </c>
      <c r="D290" s="3">
        <v>66.69</v>
      </c>
      <c r="E290" s="11">
        <v>3</v>
      </c>
      <c r="F290" s="9">
        <v>2</v>
      </c>
      <c r="G290" s="2">
        <v>4</v>
      </c>
      <c r="H29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90" s="19">
        <f>Clients[[#This Row],[Facture_Mensuelle]]*Clients[[#This Row],[Remise]]</f>
        <v>0</v>
      </c>
    </row>
    <row r="291" spans="1:9" x14ac:dyDescent="0.25">
      <c r="A291" s="2" t="s">
        <v>324</v>
      </c>
      <c r="B291" s="2" t="s">
        <v>42</v>
      </c>
      <c r="C291" s="2" t="s">
        <v>7</v>
      </c>
      <c r="D291" s="3">
        <v>70.02</v>
      </c>
      <c r="E291" s="11">
        <v>9</v>
      </c>
      <c r="F291" s="9">
        <v>7</v>
      </c>
      <c r="G291" s="2">
        <v>4</v>
      </c>
      <c r="H29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91" s="19">
        <f>Clients[[#This Row],[Facture_Mensuelle]]*Clients[[#This Row],[Remise]]</f>
        <v>31.509</v>
      </c>
    </row>
    <row r="292" spans="1:9" x14ac:dyDescent="0.25">
      <c r="A292" s="2" t="s">
        <v>325</v>
      </c>
      <c r="B292" s="2" t="s">
        <v>32</v>
      </c>
      <c r="C292" s="2" t="s">
        <v>7</v>
      </c>
      <c r="D292" s="3">
        <v>98.17</v>
      </c>
      <c r="E292" s="11">
        <v>1</v>
      </c>
      <c r="F292" s="9">
        <v>6</v>
      </c>
      <c r="G292" s="2">
        <v>5</v>
      </c>
      <c r="H29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92" s="19">
        <f>Clients[[#This Row],[Facture_Mensuelle]]*Clients[[#This Row],[Remise]]</f>
        <v>44.176500000000004</v>
      </c>
    </row>
    <row r="293" spans="1:9" x14ac:dyDescent="0.25">
      <c r="A293" s="2" t="s">
        <v>326</v>
      </c>
      <c r="B293" s="2" t="s">
        <v>59</v>
      </c>
      <c r="C293" s="2" t="s">
        <v>7</v>
      </c>
      <c r="D293" s="3">
        <v>78.44</v>
      </c>
      <c r="E293" s="11">
        <v>8</v>
      </c>
      <c r="F293" s="9">
        <v>8</v>
      </c>
      <c r="G293" s="2">
        <v>1</v>
      </c>
      <c r="H29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93" s="19">
        <f>Clients[[#This Row],[Facture_Mensuelle]]*Clients[[#This Row],[Remise]]</f>
        <v>35.298000000000002</v>
      </c>
    </row>
    <row r="294" spans="1:9" x14ac:dyDescent="0.25">
      <c r="A294" s="2" t="s">
        <v>327</v>
      </c>
      <c r="B294" s="2" t="s">
        <v>15</v>
      </c>
      <c r="C294" s="2" t="s">
        <v>7</v>
      </c>
      <c r="D294" s="3">
        <v>50.64</v>
      </c>
      <c r="E294" s="11">
        <v>10</v>
      </c>
      <c r="F294" s="9">
        <v>4</v>
      </c>
      <c r="G294" s="2">
        <v>1</v>
      </c>
      <c r="H29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94" s="19">
        <f>Clients[[#This Row],[Facture_Mensuelle]]*Clients[[#This Row],[Remise]]</f>
        <v>22.788</v>
      </c>
    </row>
    <row r="295" spans="1:9" x14ac:dyDescent="0.25">
      <c r="A295" s="2" t="s">
        <v>328</v>
      </c>
      <c r="B295" s="2" t="s">
        <v>18</v>
      </c>
      <c r="C295" s="2" t="s">
        <v>13</v>
      </c>
      <c r="D295" s="3">
        <v>56.81</v>
      </c>
      <c r="E295" s="11">
        <v>5</v>
      </c>
      <c r="F295" s="9">
        <v>2</v>
      </c>
      <c r="G295" s="2">
        <v>0</v>
      </c>
      <c r="H29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95" s="19">
        <f>Clients[[#This Row],[Facture_Mensuelle]]*Clients[[#This Row],[Remise]]</f>
        <v>0</v>
      </c>
    </row>
    <row r="296" spans="1:9" x14ac:dyDescent="0.25">
      <c r="A296" s="2" t="s">
        <v>329</v>
      </c>
      <c r="B296" s="2" t="s">
        <v>62</v>
      </c>
      <c r="C296" s="2" t="s">
        <v>7</v>
      </c>
      <c r="D296" s="3">
        <v>30.27</v>
      </c>
      <c r="E296" s="11">
        <v>10</v>
      </c>
      <c r="F296" s="9">
        <v>2</v>
      </c>
      <c r="G296" s="2">
        <v>5</v>
      </c>
      <c r="H29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296" s="19">
        <f>Clients[[#This Row],[Facture_Mensuelle]]*Clients[[#This Row],[Remise]]</f>
        <v>0</v>
      </c>
    </row>
    <row r="297" spans="1:9" x14ac:dyDescent="0.25">
      <c r="A297" s="2" t="s">
        <v>330</v>
      </c>
      <c r="B297" s="2" t="s">
        <v>97</v>
      </c>
      <c r="C297" s="2" t="s">
        <v>13</v>
      </c>
      <c r="D297" s="3">
        <v>48.13</v>
      </c>
      <c r="E297" s="11">
        <v>1</v>
      </c>
      <c r="F297" s="9">
        <v>5</v>
      </c>
      <c r="G297" s="2">
        <v>2</v>
      </c>
      <c r="H29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97" s="19">
        <f>Clients[[#This Row],[Facture_Mensuelle]]*Clients[[#This Row],[Remise]]</f>
        <v>21.6585</v>
      </c>
    </row>
    <row r="298" spans="1:9" x14ac:dyDescent="0.25">
      <c r="A298" s="2" t="s">
        <v>331</v>
      </c>
      <c r="B298" s="2" t="s">
        <v>62</v>
      </c>
      <c r="C298" s="2" t="s">
        <v>7</v>
      </c>
      <c r="D298" s="3">
        <v>41.66</v>
      </c>
      <c r="E298" s="11">
        <v>2</v>
      </c>
      <c r="F298" s="9">
        <v>8</v>
      </c>
      <c r="G298" s="2">
        <v>4</v>
      </c>
      <c r="H29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98" s="19">
        <f>Clients[[#This Row],[Facture_Mensuelle]]*Clients[[#This Row],[Remise]]</f>
        <v>18.747</v>
      </c>
    </row>
    <row r="299" spans="1:9" x14ac:dyDescent="0.25">
      <c r="A299" s="2" t="s">
        <v>332</v>
      </c>
      <c r="B299" s="2" t="s">
        <v>18</v>
      </c>
      <c r="C299" s="2" t="s">
        <v>13</v>
      </c>
      <c r="D299" s="3">
        <v>68.010000000000005</v>
      </c>
      <c r="E299" s="11">
        <v>6</v>
      </c>
      <c r="F299" s="9">
        <v>6</v>
      </c>
      <c r="G299" s="2">
        <v>4</v>
      </c>
      <c r="H29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299" s="19">
        <f>Clients[[#This Row],[Facture_Mensuelle]]*Clients[[#This Row],[Remise]]</f>
        <v>30.604500000000002</v>
      </c>
    </row>
    <row r="300" spans="1:9" x14ac:dyDescent="0.25">
      <c r="A300" s="2" t="s">
        <v>333</v>
      </c>
      <c r="B300" s="2" t="s">
        <v>48</v>
      </c>
      <c r="C300" s="2" t="s">
        <v>7</v>
      </c>
      <c r="D300" s="3">
        <v>15.17</v>
      </c>
      <c r="E300" s="11">
        <v>4</v>
      </c>
      <c r="F300" s="9">
        <v>7</v>
      </c>
      <c r="G300" s="2">
        <v>0</v>
      </c>
      <c r="H30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00" s="19">
        <f>Clients[[#This Row],[Facture_Mensuelle]]*Clients[[#This Row],[Remise]]</f>
        <v>6.8265000000000002</v>
      </c>
    </row>
    <row r="301" spans="1:9" x14ac:dyDescent="0.25">
      <c r="A301" s="2" t="s">
        <v>334</v>
      </c>
      <c r="B301" s="2" t="s">
        <v>12</v>
      </c>
      <c r="C301" s="2" t="s">
        <v>10</v>
      </c>
      <c r="D301" s="3">
        <v>56.84</v>
      </c>
      <c r="E301" s="11">
        <v>3</v>
      </c>
      <c r="F301" s="9">
        <v>8</v>
      </c>
      <c r="G301" s="2">
        <v>0</v>
      </c>
      <c r="H30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01" s="19">
        <f>Clients[[#This Row],[Facture_Mensuelle]]*Clients[[#This Row],[Remise]]</f>
        <v>25.578000000000003</v>
      </c>
    </row>
    <row r="302" spans="1:9" x14ac:dyDescent="0.25">
      <c r="A302" s="2" t="s">
        <v>335</v>
      </c>
      <c r="B302" s="2" t="s">
        <v>57</v>
      </c>
      <c r="C302" s="2" t="s">
        <v>7</v>
      </c>
      <c r="D302" s="3">
        <v>59.76</v>
      </c>
      <c r="E302" s="11">
        <v>3</v>
      </c>
      <c r="F302" s="9">
        <v>3</v>
      </c>
      <c r="G302" s="2">
        <v>4</v>
      </c>
      <c r="H30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02" s="19">
        <f>Clients[[#This Row],[Facture_Mensuelle]]*Clients[[#This Row],[Remise]]</f>
        <v>0</v>
      </c>
    </row>
    <row r="303" spans="1:9" x14ac:dyDescent="0.25">
      <c r="A303" s="2" t="s">
        <v>336</v>
      </c>
      <c r="B303" s="2" t="s">
        <v>30</v>
      </c>
      <c r="C303" s="2" t="s">
        <v>13</v>
      </c>
      <c r="D303" s="3">
        <v>99.89</v>
      </c>
      <c r="E303" s="11">
        <v>6</v>
      </c>
      <c r="F303" s="9">
        <v>0</v>
      </c>
      <c r="G303" s="2">
        <v>0</v>
      </c>
      <c r="H30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03" s="19">
        <f>Clients[[#This Row],[Facture_Mensuelle]]*Clients[[#This Row],[Remise]]</f>
        <v>0</v>
      </c>
    </row>
    <row r="304" spans="1:9" x14ac:dyDescent="0.25">
      <c r="A304" s="2" t="s">
        <v>337</v>
      </c>
      <c r="B304" s="2" t="s">
        <v>22</v>
      </c>
      <c r="C304" s="2" t="s">
        <v>13</v>
      </c>
      <c r="D304" s="3">
        <v>56.18</v>
      </c>
      <c r="E304" s="11">
        <v>7</v>
      </c>
      <c r="F304" s="9">
        <v>5</v>
      </c>
      <c r="G304" s="2">
        <v>0</v>
      </c>
      <c r="H30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04" s="19">
        <f>Clients[[#This Row],[Facture_Mensuelle]]*Clients[[#This Row],[Remise]]</f>
        <v>25.280999999999999</v>
      </c>
    </row>
    <row r="305" spans="1:9" x14ac:dyDescent="0.25">
      <c r="A305" s="2" t="s">
        <v>338</v>
      </c>
      <c r="B305" s="2" t="s">
        <v>69</v>
      </c>
      <c r="C305" s="2" t="s">
        <v>13</v>
      </c>
      <c r="D305" s="3">
        <v>43.45</v>
      </c>
      <c r="E305" s="11">
        <v>7</v>
      </c>
      <c r="F305" s="9">
        <v>1</v>
      </c>
      <c r="G305" s="2">
        <v>2</v>
      </c>
      <c r="H30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05" s="19">
        <f>Clients[[#This Row],[Facture_Mensuelle]]*Clients[[#This Row],[Remise]]</f>
        <v>0</v>
      </c>
    </row>
    <row r="306" spans="1:9" x14ac:dyDescent="0.25">
      <c r="A306" s="2" t="s">
        <v>339</v>
      </c>
      <c r="B306" s="2" t="s">
        <v>38</v>
      </c>
      <c r="C306" s="2" t="s">
        <v>13</v>
      </c>
      <c r="D306" s="3">
        <v>93.01</v>
      </c>
      <c r="E306" s="11">
        <v>6</v>
      </c>
      <c r="F306" s="9">
        <v>0</v>
      </c>
      <c r="G306" s="2">
        <v>3</v>
      </c>
      <c r="H30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06" s="19">
        <f>Clients[[#This Row],[Facture_Mensuelle]]*Clients[[#This Row],[Remise]]</f>
        <v>0</v>
      </c>
    </row>
    <row r="307" spans="1:9" x14ac:dyDescent="0.25">
      <c r="A307" s="2" t="s">
        <v>340</v>
      </c>
      <c r="B307" s="2" t="s">
        <v>44</v>
      </c>
      <c r="C307" s="2" t="s">
        <v>7</v>
      </c>
      <c r="D307" s="3">
        <v>88.95</v>
      </c>
      <c r="E307" s="11">
        <v>9</v>
      </c>
      <c r="F307" s="9">
        <v>8</v>
      </c>
      <c r="G307" s="2">
        <v>3</v>
      </c>
      <c r="H30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07" s="19">
        <f>Clients[[#This Row],[Facture_Mensuelle]]*Clients[[#This Row],[Remise]]</f>
        <v>40.027500000000003</v>
      </c>
    </row>
    <row r="308" spans="1:9" x14ac:dyDescent="0.25">
      <c r="A308" s="2" t="s">
        <v>341</v>
      </c>
      <c r="B308" s="2" t="s">
        <v>105</v>
      </c>
      <c r="C308" s="2" t="s">
        <v>13</v>
      </c>
      <c r="D308" s="3">
        <v>57.76</v>
      </c>
      <c r="E308" s="11">
        <v>8</v>
      </c>
      <c r="F308" s="9">
        <v>1</v>
      </c>
      <c r="G308" s="2">
        <v>5</v>
      </c>
      <c r="H30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08" s="19">
        <f>Clients[[#This Row],[Facture_Mensuelle]]*Clients[[#This Row],[Remise]]</f>
        <v>0</v>
      </c>
    </row>
    <row r="309" spans="1:9" x14ac:dyDescent="0.25">
      <c r="A309" s="2" t="s">
        <v>342</v>
      </c>
      <c r="B309" s="2" t="s">
        <v>34</v>
      </c>
      <c r="C309" s="2" t="s">
        <v>13</v>
      </c>
      <c r="D309" s="3">
        <v>68.38</v>
      </c>
      <c r="E309" s="11">
        <v>1</v>
      </c>
      <c r="F309" s="9">
        <v>2</v>
      </c>
      <c r="G309" s="2">
        <v>3</v>
      </c>
      <c r="H30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09" s="19">
        <f>Clients[[#This Row],[Facture_Mensuelle]]*Clients[[#This Row],[Remise]]</f>
        <v>0</v>
      </c>
    </row>
    <row r="310" spans="1:9" x14ac:dyDescent="0.25">
      <c r="A310" s="2" t="s">
        <v>343</v>
      </c>
      <c r="B310" s="2" t="s">
        <v>72</v>
      </c>
      <c r="C310" s="2" t="s">
        <v>19</v>
      </c>
      <c r="D310" s="3">
        <v>55.88</v>
      </c>
      <c r="E310" s="11">
        <v>4</v>
      </c>
      <c r="F310" s="9">
        <v>1</v>
      </c>
      <c r="G310" s="2">
        <v>3</v>
      </c>
      <c r="H31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10" s="19">
        <f>Clients[[#This Row],[Facture_Mensuelle]]*Clients[[#This Row],[Remise]]</f>
        <v>25.146000000000001</v>
      </c>
    </row>
    <row r="311" spans="1:9" x14ac:dyDescent="0.25">
      <c r="A311" s="2" t="s">
        <v>344</v>
      </c>
      <c r="B311" s="2" t="s">
        <v>32</v>
      </c>
      <c r="C311" s="2" t="s">
        <v>13</v>
      </c>
      <c r="D311" s="3">
        <v>54.69</v>
      </c>
      <c r="E311" s="11">
        <v>4</v>
      </c>
      <c r="F311" s="9">
        <v>4</v>
      </c>
      <c r="G311" s="2">
        <v>0</v>
      </c>
      <c r="H31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11" s="19">
        <f>Clients[[#This Row],[Facture_Mensuelle]]*Clients[[#This Row],[Remise]]</f>
        <v>24.610499999999998</v>
      </c>
    </row>
    <row r="312" spans="1:9" x14ac:dyDescent="0.25">
      <c r="A312" s="2" t="s">
        <v>345</v>
      </c>
      <c r="B312" s="2" t="s">
        <v>12</v>
      </c>
      <c r="C312" s="2" t="s">
        <v>10</v>
      </c>
      <c r="D312" s="3">
        <v>98.11</v>
      </c>
      <c r="E312" s="11">
        <v>7</v>
      </c>
      <c r="F312" s="9">
        <v>8</v>
      </c>
      <c r="G312" s="2">
        <v>0</v>
      </c>
      <c r="H31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12" s="19">
        <f>Clients[[#This Row],[Facture_Mensuelle]]*Clients[[#This Row],[Remise]]</f>
        <v>44.149500000000003</v>
      </c>
    </row>
    <row r="313" spans="1:9" x14ac:dyDescent="0.25">
      <c r="A313" s="2" t="s">
        <v>346</v>
      </c>
      <c r="B313" s="2" t="s">
        <v>34</v>
      </c>
      <c r="C313" s="2" t="s">
        <v>13</v>
      </c>
      <c r="D313" s="3">
        <v>24.57</v>
      </c>
      <c r="E313" s="11">
        <v>10</v>
      </c>
      <c r="F313" s="9">
        <v>8</v>
      </c>
      <c r="G313" s="2">
        <v>3</v>
      </c>
      <c r="H31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13" s="19">
        <f>Clients[[#This Row],[Facture_Mensuelle]]*Clients[[#This Row],[Remise]]</f>
        <v>11.0565</v>
      </c>
    </row>
    <row r="314" spans="1:9" x14ac:dyDescent="0.25">
      <c r="A314" s="2" t="s">
        <v>347</v>
      </c>
      <c r="B314" s="2" t="s">
        <v>32</v>
      </c>
      <c r="C314" s="2" t="s">
        <v>13</v>
      </c>
      <c r="D314" s="3">
        <v>90.99</v>
      </c>
      <c r="E314" s="11">
        <v>9</v>
      </c>
      <c r="F314" s="9">
        <v>1</v>
      </c>
      <c r="G314" s="2">
        <v>4</v>
      </c>
      <c r="H31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14" s="19">
        <f>Clients[[#This Row],[Facture_Mensuelle]]*Clients[[#This Row],[Remise]]</f>
        <v>0</v>
      </c>
    </row>
    <row r="315" spans="1:9" x14ac:dyDescent="0.25">
      <c r="A315" s="2" t="s">
        <v>348</v>
      </c>
      <c r="B315" s="2" t="s">
        <v>22</v>
      </c>
      <c r="C315" s="2" t="s">
        <v>19</v>
      </c>
      <c r="D315" s="3">
        <v>49.25</v>
      </c>
      <c r="E315" s="11">
        <v>9</v>
      </c>
      <c r="F315" s="9">
        <v>5</v>
      </c>
      <c r="G315" s="2">
        <v>2</v>
      </c>
      <c r="H31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15" s="19">
        <f>Clients[[#This Row],[Facture_Mensuelle]]*Clients[[#This Row],[Remise]]</f>
        <v>22.162500000000001</v>
      </c>
    </row>
    <row r="316" spans="1:9" x14ac:dyDescent="0.25">
      <c r="A316" s="2" t="s">
        <v>349</v>
      </c>
      <c r="B316" s="2" t="s">
        <v>46</v>
      </c>
      <c r="C316" s="2" t="s">
        <v>10</v>
      </c>
      <c r="D316" s="3">
        <v>39</v>
      </c>
      <c r="E316" s="11">
        <v>3</v>
      </c>
      <c r="F316" s="9">
        <v>0</v>
      </c>
      <c r="G316" s="2">
        <v>0</v>
      </c>
      <c r="H31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16" s="19">
        <f>Clients[[#This Row],[Facture_Mensuelle]]*Clients[[#This Row],[Remise]]</f>
        <v>3.9000000000000004</v>
      </c>
    </row>
    <row r="317" spans="1:9" x14ac:dyDescent="0.25">
      <c r="A317" s="2" t="s">
        <v>350</v>
      </c>
      <c r="B317" s="2" t="s">
        <v>44</v>
      </c>
      <c r="C317" s="2" t="s">
        <v>7</v>
      </c>
      <c r="D317" s="3">
        <v>90.85</v>
      </c>
      <c r="E317" s="11">
        <v>4</v>
      </c>
      <c r="F317" s="9">
        <v>8</v>
      </c>
      <c r="G317" s="2">
        <v>1</v>
      </c>
      <c r="H31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17" s="19">
        <f>Clients[[#This Row],[Facture_Mensuelle]]*Clients[[#This Row],[Remise]]</f>
        <v>40.8825</v>
      </c>
    </row>
    <row r="318" spans="1:9" x14ac:dyDescent="0.25">
      <c r="A318" s="2" t="s">
        <v>351</v>
      </c>
      <c r="B318" s="2" t="s">
        <v>24</v>
      </c>
      <c r="C318" s="2" t="s">
        <v>10</v>
      </c>
      <c r="D318" s="3">
        <v>89.19</v>
      </c>
      <c r="E318" s="11">
        <v>5</v>
      </c>
      <c r="F318" s="9">
        <v>3</v>
      </c>
      <c r="G318" s="2">
        <v>0</v>
      </c>
      <c r="H31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18" s="19">
        <f>Clients[[#This Row],[Facture_Mensuelle]]*Clients[[#This Row],[Remise]]</f>
        <v>8.9190000000000005</v>
      </c>
    </row>
    <row r="319" spans="1:9" x14ac:dyDescent="0.25">
      <c r="A319" s="2" t="s">
        <v>352</v>
      </c>
      <c r="B319" s="2" t="s">
        <v>44</v>
      </c>
      <c r="C319" s="2" t="s">
        <v>19</v>
      </c>
      <c r="D319" s="3">
        <v>27.97</v>
      </c>
      <c r="E319" s="11">
        <v>1</v>
      </c>
      <c r="F319" s="9">
        <v>5</v>
      </c>
      <c r="G319" s="2">
        <v>4</v>
      </c>
      <c r="H31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19" s="19">
        <f>Clients[[#This Row],[Facture_Mensuelle]]*Clients[[#This Row],[Remise]]</f>
        <v>12.586499999999999</v>
      </c>
    </row>
    <row r="320" spans="1:9" x14ac:dyDescent="0.25">
      <c r="A320" s="2" t="s">
        <v>353</v>
      </c>
      <c r="B320" s="2" t="s">
        <v>156</v>
      </c>
      <c r="C320" s="2" t="s">
        <v>19</v>
      </c>
      <c r="D320" s="3">
        <v>32.49</v>
      </c>
      <c r="E320" s="11">
        <v>8</v>
      </c>
      <c r="F320" s="9">
        <v>5</v>
      </c>
      <c r="G320" s="2">
        <v>1</v>
      </c>
      <c r="H32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20" s="19">
        <f>Clients[[#This Row],[Facture_Mensuelle]]*Clients[[#This Row],[Remise]]</f>
        <v>14.620500000000002</v>
      </c>
    </row>
    <row r="321" spans="1:9" x14ac:dyDescent="0.25">
      <c r="A321" s="2" t="s">
        <v>354</v>
      </c>
      <c r="B321" s="2" t="s">
        <v>6</v>
      </c>
      <c r="C321" s="2" t="s">
        <v>10</v>
      </c>
      <c r="D321" s="3">
        <v>39.35</v>
      </c>
      <c r="E321" s="11">
        <v>4</v>
      </c>
      <c r="F321" s="9">
        <v>1</v>
      </c>
      <c r="G321" s="2">
        <v>2</v>
      </c>
      <c r="H32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21" s="19">
        <f>Clients[[#This Row],[Facture_Mensuelle]]*Clients[[#This Row],[Remise]]</f>
        <v>3.9350000000000005</v>
      </c>
    </row>
    <row r="322" spans="1:9" x14ac:dyDescent="0.25">
      <c r="A322" s="2" t="s">
        <v>355</v>
      </c>
      <c r="B322" s="2" t="s">
        <v>44</v>
      </c>
      <c r="C322" s="2" t="s">
        <v>7</v>
      </c>
      <c r="D322" s="3">
        <v>67.17</v>
      </c>
      <c r="E322" s="11">
        <v>7</v>
      </c>
      <c r="F322" s="9">
        <v>2</v>
      </c>
      <c r="G322" s="2">
        <v>1</v>
      </c>
      <c r="H32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22" s="19">
        <f>Clients[[#This Row],[Facture_Mensuelle]]*Clients[[#This Row],[Remise]]</f>
        <v>0</v>
      </c>
    </row>
    <row r="323" spans="1:9" x14ac:dyDescent="0.25">
      <c r="A323" s="2" t="s">
        <v>356</v>
      </c>
      <c r="B323" s="2" t="s">
        <v>12</v>
      </c>
      <c r="C323" s="2" t="s">
        <v>13</v>
      </c>
      <c r="D323" s="3">
        <v>69.16</v>
      </c>
      <c r="E323" s="11">
        <v>8</v>
      </c>
      <c r="F323" s="9">
        <v>3</v>
      </c>
      <c r="G323" s="2">
        <v>4</v>
      </c>
      <c r="H32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23" s="19">
        <f>Clients[[#This Row],[Facture_Mensuelle]]*Clients[[#This Row],[Remise]]</f>
        <v>0</v>
      </c>
    </row>
    <row r="324" spans="1:9" x14ac:dyDescent="0.25">
      <c r="A324" s="2" t="s">
        <v>357</v>
      </c>
      <c r="B324" s="2" t="s">
        <v>32</v>
      </c>
      <c r="C324" s="2" t="s">
        <v>13</v>
      </c>
      <c r="D324" s="3">
        <v>50.15</v>
      </c>
      <c r="E324" s="11">
        <v>1</v>
      </c>
      <c r="F324" s="9">
        <v>8</v>
      </c>
      <c r="G324" s="2">
        <v>0</v>
      </c>
      <c r="H32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24" s="19">
        <f>Clients[[#This Row],[Facture_Mensuelle]]*Clients[[#This Row],[Remise]]</f>
        <v>22.567499999999999</v>
      </c>
    </row>
    <row r="325" spans="1:9" x14ac:dyDescent="0.25">
      <c r="A325" s="2" t="s">
        <v>358</v>
      </c>
      <c r="B325" s="2" t="s">
        <v>24</v>
      </c>
      <c r="C325" s="2" t="s">
        <v>7</v>
      </c>
      <c r="D325" s="3">
        <v>83.32</v>
      </c>
      <c r="E325" s="11">
        <v>0</v>
      </c>
      <c r="F325" s="9">
        <v>4</v>
      </c>
      <c r="G325" s="2">
        <v>2</v>
      </c>
      <c r="H32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25" s="19">
        <f>Clients[[#This Row],[Facture_Mensuelle]]*Clients[[#This Row],[Remise]]</f>
        <v>37.494</v>
      </c>
    </row>
    <row r="326" spans="1:9" x14ac:dyDescent="0.25">
      <c r="A326" s="2" t="s">
        <v>359</v>
      </c>
      <c r="B326" s="2" t="s">
        <v>40</v>
      </c>
      <c r="C326" s="2" t="s">
        <v>13</v>
      </c>
      <c r="D326" s="3">
        <v>44.41</v>
      </c>
      <c r="E326" s="11">
        <v>4</v>
      </c>
      <c r="F326" s="9">
        <v>0</v>
      </c>
      <c r="G326" s="2">
        <v>3</v>
      </c>
      <c r="H32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26" s="19">
        <f>Clients[[#This Row],[Facture_Mensuelle]]*Clients[[#This Row],[Remise]]</f>
        <v>0</v>
      </c>
    </row>
    <row r="327" spans="1:9" x14ac:dyDescent="0.25">
      <c r="A327" s="2" t="s">
        <v>360</v>
      </c>
      <c r="B327" s="2" t="s">
        <v>30</v>
      </c>
      <c r="C327" s="2" t="s">
        <v>19</v>
      </c>
      <c r="D327" s="3">
        <v>67.260000000000005</v>
      </c>
      <c r="E327" s="11">
        <v>3</v>
      </c>
      <c r="F327" s="9">
        <v>7</v>
      </c>
      <c r="G327" s="2">
        <v>4</v>
      </c>
      <c r="H32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27" s="19">
        <f>Clients[[#This Row],[Facture_Mensuelle]]*Clients[[#This Row],[Remise]]</f>
        <v>30.267000000000003</v>
      </c>
    </row>
    <row r="328" spans="1:9" x14ac:dyDescent="0.25">
      <c r="A328" s="2" t="s">
        <v>361</v>
      </c>
      <c r="B328" s="2" t="s">
        <v>22</v>
      </c>
      <c r="C328" s="2" t="s">
        <v>7</v>
      </c>
      <c r="D328" s="3">
        <v>90.7</v>
      </c>
      <c r="E328" s="11">
        <v>7</v>
      </c>
      <c r="F328" s="9">
        <v>4</v>
      </c>
      <c r="G328" s="2">
        <v>3</v>
      </c>
      <c r="H32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28" s="19">
        <f>Clients[[#This Row],[Facture_Mensuelle]]*Clients[[#This Row],[Remise]]</f>
        <v>40.815000000000005</v>
      </c>
    </row>
    <row r="329" spans="1:9" x14ac:dyDescent="0.25">
      <c r="A329" s="2" t="s">
        <v>362</v>
      </c>
      <c r="B329" s="2" t="s">
        <v>69</v>
      </c>
      <c r="C329" s="2" t="s">
        <v>7</v>
      </c>
      <c r="D329" s="3">
        <v>10.9</v>
      </c>
      <c r="E329" s="11">
        <v>2</v>
      </c>
      <c r="F329" s="9">
        <v>7</v>
      </c>
      <c r="G329" s="2">
        <v>5</v>
      </c>
      <c r="H32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29" s="19">
        <f>Clients[[#This Row],[Facture_Mensuelle]]*Clients[[#This Row],[Remise]]</f>
        <v>4.9050000000000002</v>
      </c>
    </row>
    <row r="330" spans="1:9" x14ac:dyDescent="0.25">
      <c r="A330" s="2" t="s">
        <v>363</v>
      </c>
      <c r="B330" s="2" t="s">
        <v>44</v>
      </c>
      <c r="C330" s="2" t="s">
        <v>10</v>
      </c>
      <c r="D330" s="3">
        <v>25.37</v>
      </c>
      <c r="E330" s="11">
        <v>7</v>
      </c>
      <c r="F330" s="9">
        <v>6</v>
      </c>
      <c r="G330" s="2">
        <v>1</v>
      </c>
      <c r="H33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30" s="19">
        <f>Clients[[#This Row],[Facture_Mensuelle]]*Clients[[#This Row],[Remise]]</f>
        <v>11.416500000000001</v>
      </c>
    </row>
    <row r="331" spans="1:9" x14ac:dyDescent="0.25">
      <c r="A331" s="2" t="s">
        <v>364</v>
      </c>
      <c r="B331" s="2" t="s">
        <v>28</v>
      </c>
      <c r="C331" s="2" t="s">
        <v>10</v>
      </c>
      <c r="D331" s="3">
        <v>76.05</v>
      </c>
      <c r="E331" s="11">
        <v>8</v>
      </c>
      <c r="F331" s="9">
        <v>2</v>
      </c>
      <c r="G331" s="2">
        <v>3</v>
      </c>
      <c r="H33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31" s="19">
        <f>Clients[[#This Row],[Facture_Mensuelle]]*Clients[[#This Row],[Remise]]</f>
        <v>7.6050000000000004</v>
      </c>
    </row>
    <row r="332" spans="1:9" x14ac:dyDescent="0.25">
      <c r="A332" s="2" t="s">
        <v>365</v>
      </c>
      <c r="B332" s="2" t="s">
        <v>69</v>
      </c>
      <c r="C332" s="2" t="s">
        <v>19</v>
      </c>
      <c r="D332" s="3">
        <v>60.05</v>
      </c>
      <c r="E332" s="11">
        <v>9</v>
      </c>
      <c r="F332" s="9">
        <v>0</v>
      </c>
      <c r="G332" s="2">
        <v>4</v>
      </c>
      <c r="H33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32" s="19">
        <f>Clients[[#This Row],[Facture_Mensuelle]]*Clients[[#This Row],[Remise]]</f>
        <v>0</v>
      </c>
    </row>
    <row r="333" spans="1:9" x14ac:dyDescent="0.25">
      <c r="A333" s="2" t="s">
        <v>366</v>
      </c>
      <c r="B333" s="2" t="s">
        <v>62</v>
      </c>
      <c r="C333" s="2" t="s">
        <v>13</v>
      </c>
      <c r="D333" s="3">
        <v>68.319999999999993</v>
      </c>
      <c r="E333" s="11">
        <v>5</v>
      </c>
      <c r="F333" s="9">
        <v>1</v>
      </c>
      <c r="G333" s="2">
        <v>2</v>
      </c>
      <c r="H33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33" s="19">
        <f>Clients[[#This Row],[Facture_Mensuelle]]*Clients[[#This Row],[Remise]]</f>
        <v>0</v>
      </c>
    </row>
    <row r="334" spans="1:9" x14ac:dyDescent="0.25">
      <c r="A334" s="2" t="s">
        <v>367</v>
      </c>
      <c r="B334" s="2" t="s">
        <v>65</v>
      </c>
      <c r="C334" s="2" t="s">
        <v>13</v>
      </c>
      <c r="D334" s="3">
        <v>67.459999999999994</v>
      </c>
      <c r="E334" s="11">
        <v>8</v>
      </c>
      <c r="F334" s="9">
        <v>0</v>
      </c>
      <c r="G334" s="2">
        <v>5</v>
      </c>
      <c r="H33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34" s="19">
        <f>Clients[[#This Row],[Facture_Mensuelle]]*Clients[[#This Row],[Remise]]</f>
        <v>0</v>
      </c>
    </row>
    <row r="335" spans="1:9" x14ac:dyDescent="0.25">
      <c r="A335" s="2" t="s">
        <v>368</v>
      </c>
      <c r="B335" s="2" t="s">
        <v>48</v>
      </c>
      <c r="C335" s="2" t="s">
        <v>10</v>
      </c>
      <c r="D335" s="3">
        <v>39.880000000000003</v>
      </c>
      <c r="E335" s="11">
        <v>0</v>
      </c>
      <c r="F335" s="9">
        <v>2</v>
      </c>
      <c r="G335" s="2">
        <v>4</v>
      </c>
      <c r="H33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35" s="19">
        <f>Clients[[#This Row],[Facture_Mensuelle]]*Clients[[#This Row],[Remise]]</f>
        <v>3.9880000000000004</v>
      </c>
    </row>
    <row r="336" spans="1:9" x14ac:dyDescent="0.25">
      <c r="A336" s="2" t="s">
        <v>369</v>
      </c>
      <c r="B336" s="2" t="s">
        <v>97</v>
      </c>
      <c r="C336" s="2" t="s">
        <v>13</v>
      </c>
      <c r="D336" s="3">
        <v>88.61</v>
      </c>
      <c r="E336" s="11">
        <v>5</v>
      </c>
      <c r="F336" s="9">
        <v>2</v>
      </c>
      <c r="G336" s="2">
        <v>2</v>
      </c>
      <c r="H33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36" s="19">
        <f>Clients[[#This Row],[Facture_Mensuelle]]*Clients[[#This Row],[Remise]]</f>
        <v>0</v>
      </c>
    </row>
    <row r="337" spans="1:9" x14ac:dyDescent="0.25">
      <c r="A337" s="2" t="s">
        <v>370</v>
      </c>
      <c r="B337" s="2" t="s">
        <v>105</v>
      </c>
      <c r="C337" s="2" t="s">
        <v>13</v>
      </c>
      <c r="D337" s="3">
        <v>35.92</v>
      </c>
      <c r="E337" s="11">
        <v>3</v>
      </c>
      <c r="F337" s="9">
        <v>3</v>
      </c>
      <c r="G337" s="2">
        <v>2</v>
      </c>
      <c r="H33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37" s="19">
        <f>Clients[[#This Row],[Facture_Mensuelle]]*Clients[[#This Row],[Remise]]</f>
        <v>0</v>
      </c>
    </row>
    <row r="338" spans="1:9" x14ac:dyDescent="0.25">
      <c r="A338" s="2" t="s">
        <v>371</v>
      </c>
      <c r="B338" s="2" t="s">
        <v>12</v>
      </c>
      <c r="C338" s="2" t="s">
        <v>10</v>
      </c>
      <c r="D338" s="3">
        <v>54.64</v>
      </c>
      <c r="E338" s="11">
        <v>8</v>
      </c>
      <c r="F338" s="9">
        <v>2</v>
      </c>
      <c r="G338" s="2">
        <v>5</v>
      </c>
      <c r="H33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38" s="19">
        <f>Clients[[#This Row],[Facture_Mensuelle]]*Clients[[#This Row],[Remise]]</f>
        <v>5.4640000000000004</v>
      </c>
    </row>
    <row r="339" spans="1:9" x14ac:dyDescent="0.25">
      <c r="A339" s="2" t="s">
        <v>372</v>
      </c>
      <c r="B339" s="2" t="s">
        <v>62</v>
      </c>
      <c r="C339" s="2" t="s">
        <v>19</v>
      </c>
      <c r="D339" s="3">
        <v>74.239999999999995</v>
      </c>
      <c r="E339" s="11">
        <v>5</v>
      </c>
      <c r="F339" s="9">
        <v>6</v>
      </c>
      <c r="G339" s="2">
        <v>0</v>
      </c>
      <c r="H33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39" s="19">
        <f>Clients[[#This Row],[Facture_Mensuelle]]*Clients[[#This Row],[Remise]]</f>
        <v>33.408000000000001</v>
      </c>
    </row>
    <row r="340" spans="1:9" x14ac:dyDescent="0.25">
      <c r="A340" s="2" t="s">
        <v>373</v>
      </c>
      <c r="B340" s="2" t="s">
        <v>9</v>
      </c>
      <c r="C340" s="2" t="s">
        <v>7</v>
      </c>
      <c r="D340" s="3">
        <v>68.2</v>
      </c>
      <c r="E340" s="11">
        <v>2</v>
      </c>
      <c r="F340" s="9">
        <v>1</v>
      </c>
      <c r="G340" s="2">
        <v>0</v>
      </c>
      <c r="H34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40" s="19">
        <f>Clients[[#This Row],[Facture_Mensuelle]]*Clients[[#This Row],[Remise]]</f>
        <v>0</v>
      </c>
    </row>
    <row r="341" spans="1:9" x14ac:dyDescent="0.25">
      <c r="A341" s="2" t="s">
        <v>374</v>
      </c>
      <c r="B341" s="2" t="s">
        <v>59</v>
      </c>
      <c r="C341" s="2" t="s">
        <v>10</v>
      </c>
      <c r="D341" s="3">
        <v>82.56</v>
      </c>
      <c r="E341" s="11">
        <v>5</v>
      </c>
      <c r="F341" s="9">
        <v>1</v>
      </c>
      <c r="G341" s="2">
        <v>2</v>
      </c>
      <c r="H34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41" s="19">
        <f>Clients[[#This Row],[Facture_Mensuelle]]*Clients[[#This Row],[Remise]]</f>
        <v>8.2560000000000002</v>
      </c>
    </row>
    <row r="342" spans="1:9" x14ac:dyDescent="0.25">
      <c r="A342" s="2" t="s">
        <v>375</v>
      </c>
      <c r="B342" s="2" t="s">
        <v>6</v>
      </c>
      <c r="C342" s="2" t="s">
        <v>10</v>
      </c>
      <c r="D342" s="3">
        <v>96.57</v>
      </c>
      <c r="E342" s="11">
        <v>8</v>
      </c>
      <c r="F342" s="9">
        <v>4</v>
      </c>
      <c r="G342" s="2">
        <v>0</v>
      </c>
      <c r="H34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42" s="19">
        <f>Clients[[#This Row],[Facture_Mensuelle]]*Clients[[#This Row],[Remise]]</f>
        <v>43.456499999999998</v>
      </c>
    </row>
    <row r="343" spans="1:9" x14ac:dyDescent="0.25">
      <c r="A343" s="2" t="s">
        <v>376</v>
      </c>
      <c r="B343" s="2" t="s">
        <v>97</v>
      </c>
      <c r="C343" s="2" t="s">
        <v>10</v>
      </c>
      <c r="D343" s="3">
        <v>54.43</v>
      </c>
      <c r="E343" s="11">
        <v>1</v>
      </c>
      <c r="F343" s="9">
        <v>4</v>
      </c>
      <c r="G343" s="2">
        <v>3</v>
      </c>
      <c r="H34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43" s="19">
        <f>Clients[[#This Row],[Facture_Mensuelle]]*Clients[[#This Row],[Remise]]</f>
        <v>24.493500000000001</v>
      </c>
    </row>
    <row r="344" spans="1:9" x14ac:dyDescent="0.25">
      <c r="A344" s="2" t="s">
        <v>377</v>
      </c>
      <c r="B344" s="2" t="s">
        <v>97</v>
      </c>
      <c r="C344" s="2" t="s">
        <v>10</v>
      </c>
      <c r="D344" s="3">
        <v>39.18</v>
      </c>
      <c r="E344" s="11">
        <v>5</v>
      </c>
      <c r="F344" s="9">
        <v>2</v>
      </c>
      <c r="G344" s="2">
        <v>2</v>
      </c>
      <c r="H34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44" s="19">
        <f>Clients[[#This Row],[Facture_Mensuelle]]*Clients[[#This Row],[Remise]]</f>
        <v>3.9180000000000001</v>
      </c>
    </row>
    <row r="345" spans="1:9" x14ac:dyDescent="0.25">
      <c r="A345" s="2" t="s">
        <v>378</v>
      </c>
      <c r="B345" s="2" t="s">
        <v>30</v>
      </c>
      <c r="C345" s="2" t="s">
        <v>7</v>
      </c>
      <c r="D345" s="3">
        <v>48.55</v>
      </c>
      <c r="E345" s="11">
        <v>9</v>
      </c>
      <c r="F345" s="9">
        <v>3</v>
      </c>
      <c r="G345" s="2">
        <v>2</v>
      </c>
      <c r="H34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45" s="19">
        <f>Clients[[#This Row],[Facture_Mensuelle]]*Clients[[#This Row],[Remise]]</f>
        <v>0</v>
      </c>
    </row>
    <row r="346" spans="1:9" x14ac:dyDescent="0.25">
      <c r="A346" s="2" t="s">
        <v>379</v>
      </c>
      <c r="B346" s="2" t="s">
        <v>9</v>
      </c>
      <c r="C346" s="2" t="s">
        <v>10</v>
      </c>
      <c r="D346" s="3">
        <v>90.14</v>
      </c>
      <c r="E346" s="11">
        <v>2</v>
      </c>
      <c r="F346" s="9">
        <v>1</v>
      </c>
      <c r="G346" s="2">
        <v>5</v>
      </c>
      <c r="H34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46" s="19">
        <f>Clients[[#This Row],[Facture_Mensuelle]]*Clients[[#This Row],[Remise]]</f>
        <v>9.0140000000000011</v>
      </c>
    </row>
    <row r="347" spans="1:9" x14ac:dyDescent="0.25">
      <c r="A347" s="2" t="s">
        <v>380</v>
      </c>
      <c r="B347" s="2" t="s">
        <v>72</v>
      </c>
      <c r="C347" s="2" t="s">
        <v>10</v>
      </c>
      <c r="D347" s="3">
        <v>77.77</v>
      </c>
      <c r="E347" s="11">
        <v>3</v>
      </c>
      <c r="F347" s="9">
        <v>1</v>
      </c>
      <c r="G347" s="2">
        <v>1</v>
      </c>
      <c r="H34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47" s="19">
        <f>Clients[[#This Row],[Facture_Mensuelle]]*Clients[[#This Row],[Remise]]</f>
        <v>7.7770000000000001</v>
      </c>
    </row>
    <row r="348" spans="1:9" x14ac:dyDescent="0.25">
      <c r="A348" s="2" t="s">
        <v>381</v>
      </c>
      <c r="B348" s="2" t="s">
        <v>22</v>
      </c>
      <c r="C348" s="2" t="s">
        <v>7</v>
      </c>
      <c r="D348" s="3">
        <v>82.16</v>
      </c>
      <c r="E348" s="11">
        <v>2</v>
      </c>
      <c r="F348" s="9">
        <v>5</v>
      </c>
      <c r="G348" s="2">
        <v>1</v>
      </c>
      <c r="H34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48" s="19">
        <f>Clients[[#This Row],[Facture_Mensuelle]]*Clients[[#This Row],[Remise]]</f>
        <v>36.972000000000001</v>
      </c>
    </row>
    <row r="349" spans="1:9" x14ac:dyDescent="0.25">
      <c r="A349" s="2" t="s">
        <v>382</v>
      </c>
      <c r="B349" s="2" t="s">
        <v>34</v>
      </c>
      <c r="C349" s="2" t="s">
        <v>10</v>
      </c>
      <c r="D349" s="3">
        <v>66.36</v>
      </c>
      <c r="E349" s="11">
        <v>1</v>
      </c>
      <c r="F349" s="9">
        <v>1</v>
      </c>
      <c r="G349" s="2">
        <v>0</v>
      </c>
      <c r="H34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49" s="19">
        <f>Clients[[#This Row],[Facture_Mensuelle]]*Clients[[#This Row],[Remise]]</f>
        <v>6.6360000000000001</v>
      </c>
    </row>
    <row r="350" spans="1:9" x14ac:dyDescent="0.25">
      <c r="A350" s="2" t="s">
        <v>383</v>
      </c>
      <c r="B350" s="2" t="s">
        <v>28</v>
      </c>
      <c r="C350" s="2" t="s">
        <v>19</v>
      </c>
      <c r="D350" s="3">
        <v>19.78</v>
      </c>
      <c r="E350" s="11">
        <v>2</v>
      </c>
      <c r="F350" s="9">
        <v>6</v>
      </c>
      <c r="G350" s="2">
        <v>1</v>
      </c>
      <c r="H35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0" s="19">
        <f>Clients[[#This Row],[Facture_Mensuelle]]*Clients[[#This Row],[Remise]]</f>
        <v>8.9010000000000016</v>
      </c>
    </row>
    <row r="351" spans="1:9" x14ac:dyDescent="0.25">
      <c r="A351" s="2" t="s">
        <v>384</v>
      </c>
      <c r="B351" s="2" t="s">
        <v>40</v>
      </c>
      <c r="C351" s="2" t="s">
        <v>19</v>
      </c>
      <c r="D351" s="3">
        <v>83.67</v>
      </c>
      <c r="E351" s="11">
        <v>9</v>
      </c>
      <c r="F351" s="9">
        <v>5</v>
      </c>
      <c r="G351" s="2">
        <v>4</v>
      </c>
      <c r="H35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1" s="19">
        <f>Clients[[#This Row],[Facture_Mensuelle]]*Clients[[#This Row],[Remise]]</f>
        <v>37.651499999999999</v>
      </c>
    </row>
    <row r="352" spans="1:9" x14ac:dyDescent="0.25">
      <c r="A352" s="2" t="s">
        <v>385</v>
      </c>
      <c r="B352" s="2" t="s">
        <v>15</v>
      </c>
      <c r="C352" s="2" t="s">
        <v>10</v>
      </c>
      <c r="D352" s="3">
        <v>40.880000000000003</v>
      </c>
      <c r="E352" s="11">
        <v>7</v>
      </c>
      <c r="F352" s="9">
        <v>5</v>
      </c>
      <c r="G352" s="2">
        <v>0</v>
      </c>
      <c r="H35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2" s="19">
        <f>Clients[[#This Row],[Facture_Mensuelle]]*Clients[[#This Row],[Remise]]</f>
        <v>18.396000000000001</v>
      </c>
    </row>
    <row r="353" spans="1:9" x14ac:dyDescent="0.25">
      <c r="A353" s="2" t="s">
        <v>386</v>
      </c>
      <c r="B353" s="2" t="s">
        <v>72</v>
      </c>
      <c r="C353" s="2" t="s">
        <v>10</v>
      </c>
      <c r="D353" s="3">
        <v>59.2</v>
      </c>
      <c r="E353" s="11">
        <v>0</v>
      </c>
      <c r="F353" s="9">
        <v>7</v>
      </c>
      <c r="G353" s="2">
        <v>2</v>
      </c>
      <c r="H35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3" s="19">
        <f>Clients[[#This Row],[Facture_Mensuelle]]*Clients[[#This Row],[Remise]]</f>
        <v>26.64</v>
      </c>
    </row>
    <row r="354" spans="1:9" x14ac:dyDescent="0.25">
      <c r="A354" s="2" t="s">
        <v>387</v>
      </c>
      <c r="B354" s="2" t="s">
        <v>38</v>
      </c>
      <c r="C354" s="2" t="s">
        <v>19</v>
      </c>
      <c r="D354" s="3">
        <v>68.650000000000006</v>
      </c>
      <c r="E354" s="11">
        <v>6</v>
      </c>
      <c r="F354" s="9">
        <v>0</v>
      </c>
      <c r="G354" s="2">
        <v>0</v>
      </c>
      <c r="H35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54" s="19">
        <f>Clients[[#This Row],[Facture_Mensuelle]]*Clients[[#This Row],[Remise]]</f>
        <v>0</v>
      </c>
    </row>
    <row r="355" spans="1:9" x14ac:dyDescent="0.25">
      <c r="A355" s="2" t="s">
        <v>388</v>
      </c>
      <c r="B355" s="2" t="s">
        <v>97</v>
      </c>
      <c r="C355" s="2" t="s">
        <v>19</v>
      </c>
      <c r="D355" s="3">
        <v>97.32</v>
      </c>
      <c r="E355" s="11">
        <v>1</v>
      </c>
      <c r="F355" s="9">
        <v>5</v>
      </c>
      <c r="G355" s="2">
        <v>1</v>
      </c>
      <c r="H35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5" s="19">
        <f>Clients[[#This Row],[Facture_Mensuelle]]*Clients[[#This Row],[Remise]]</f>
        <v>43.793999999999997</v>
      </c>
    </row>
    <row r="356" spans="1:9" x14ac:dyDescent="0.25">
      <c r="A356" s="2" t="s">
        <v>389</v>
      </c>
      <c r="B356" s="2" t="s">
        <v>40</v>
      </c>
      <c r="C356" s="2" t="s">
        <v>10</v>
      </c>
      <c r="D356" s="3">
        <v>88.1</v>
      </c>
      <c r="E356" s="11">
        <v>5</v>
      </c>
      <c r="F356" s="9">
        <v>5</v>
      </c>
      <c r="G356" s="2">
        <v>4</v>
      </c>
      <c r="H35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6" s="19">
        <f>Clients[[#This Row],[Facture_Mensuelle]]*Clients[[#This Row],[Remise]]</f>
        <v>39.644999999999996</v>
      </c>
    </row>
    <row r="357" spans="1:9" x14ac:dyDescent="0.25">
      <c r="A357" s="2" t="s">
        <v>390</v>
      </c>
      <c r="B357" s="2" t="s">
        <v>9</v>
      </c>
      <c r="C357" s="2" t="s">
        <v>19</v>
      </c>
      <c r="D357" s="3">
        <v>86.78</v>
      </c>
      <c r="E357" s="11">
        <v>1</v>
      </c>
      <c r="F357" s="9">
        <v>2</v>
      </c>
      <c r="G357" s="2">
        <v>1</v>
      </c>
      <c r="H35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7" s="19">
        <f>Clients[[#This Row],[Facture_Mensuelle]]*Clients[[#This Row],[Remise]]</f>
        <v>39.051000000000002</v>
      </c>
    </row>
    <row r="358" spans="1:9" x14ac:dyDescent="0.25">
      <c r="A358" s="2" t="s">
        <v>391</v>
      </c>
      <c r="B358" s="2" t="s">
        <v>24</v>
      </c>
      <c r="C358" s="2" t="s">
        <v>7</v>
      </c>
      <c r="D358" s="3">
        <v>90.81</v>
      </c>
      <c r="E358" s="11">
        <v>6</v>
      </c>
      <c r="F358" s="9">
        <v>4</v>
      </c>
      <c r="G358" s="2">
        <v>3</v>
      </c>
      <c r="H35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58" s="19">
        <f>Clients[[#This Row],[Facture_Mensuelle]]*Clients[[#This Row],[Remise]]</f>
        <v>40.8645</v>
      </c>
    </row>
    <row r="359" spans="1:9" x14ac:dyDescent="0.25">
      <c r="A359" s="2" t="s">
        <v>392</v>
      </c>
      <c r="B359" s="2" t="s">
        <v>156</v>
      </c>
      <c r="C359" s="2" t="s">
        <v>13</v>
      </c>
      <c r="D359" s="3">
        <v>35.96</v>
      </c>
      <c r="E359" s="11">
        <v>9</v>
      </c>
      <c r="F359" s="9">
        <v>2</v>
      </c>
      <c r="G359" s="2">
        <v>2</v>
      </c>
      <c r="H35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59" s="19">
        <f>Clients[[#This Row],[Facture_Mensuelle]]*Clients[[#This Row],[Remise]]</f>
        <v>0</v>
      </c>
    </row>
    <row r="360" spans="1:9" x14ac:dyDescent="0.25">
      <c r="A360" s="2" t="s">
        <v>393</v>
      </c>
      <c r="B360" s="2" t="s">
        <v>62</v>
      </c>
      <c r="C360" s="2" t="s">
        <v>13</v>
      </c>
      <c r="D360" s="3">
        <v>17</v>
      </c>
      <c r="E360" s="11">
        <v>4</v>
      </c>
      <c r="F360" s="9">
        <v>6</v>
      </c>
      <c r="G360" s="2">
        <v>3</v>
      </c>
      <c r="H36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60" s="19">
        <f>Clients[[#This Row],[Facture_Mensuelle]]*Clients[[#This Row],[Remise]]</f>
        <v>7.65</v>
      </c>
    </row>
    <row r="361" spans="1:9" x14ac:dyDescent="0.25">
      <c r="A361" s="2" t="s">
        <v>394</v>
      </c>
      <c r="B361" s="2" t="s">
        <v>42</v>
      </c>
      <c r="C361" s="2" t="s">
        <v>13</v>
      </c>
      <c r="D361" s="3">
        <v>20.89</v>
      </c>
      <c r="E361" s="11">
        <v>3</v>
      </c>
      <c r="F361" s="9">
        <v>0</v>
      </c>
      <c r="G361" s="2">
        <v>5</v>
      </c>
      <c r="H36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61" s="19">
        <f>Clients[[#This Row],[Facture_Mensuelle]]*Clients[[#This Row],[Remise]]</f>
        <v>0</v>
      </c>
    </row>
    <row r="362" spans="1:9" x14ac:dyDescent="0.25">
      <c r="A362" s="2" t="s">
        <v>395</v>
      </c>
      <c r="B362" s="2" t="s">
        <v>6</v>
      </c>
      <c r="C362" s="2" t="s">
        <v>13</v>
      </c>
      <c r="D362" s="3">
        <v>53.11</v>
      </c>
      <c r="E362" s="11">
        <v>6</v>
      </c>
      <c r="F362" s="9">
        <v>1</v>
      </c>
      <c r="G362" s="2">
        <v>2</v>
      </c>
      <c r="H36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62" s="19">
        <f>Clients[[#This Row],[Facture_Mensuelle]]*Clients[[#This Row],[Remise]]</f>
        <v>0</v>
      </c>
    </row>
    <row r="363" spans="1:9" x14ac:dyDescent="0.25">
      <c r="A363" s="2" t="s">
        <v>396</v>
      </c>
      <c r="B363" s="2" t="s">
        <v>9</v>
      </c>
      <c r="C363" s="2" t="s">
        <v>13</v>
      </c>
      <c r="D363" s="3">
        <v>94.72</v>
      </c>
      <c r="E363" s="11">
        <v>10</v>
      </c>
      <c r="F363" s="9">
        <v>4</v>
      </c>
      <c r="G363" s="2">
        <v>3</v>
      </c>
      <c r="H36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63" s="19">
        <f>Clients[[#This Row],[Facture_Mensuelle]]*Clients[[#This Row],[Remise]]</f>
        <v>42.624000000000002</v>
      </c>
    </row>
    <row r="364" spans="1:9" x14ac:dyDescent="0.25">
      <c r="A364" s="2" t="s">
        <v>397</v>
      </c>
      <c r="B364" s="2" t="s">
        <v>18</v>
      </c>
      <c r="C364" s="2" t="s">
        <v>7</v>
      </c>
      <c r="D364" s="3">
        <v>14.77</v>
      </c>
      <c r="E364" s="11">
        <v>2</v>
      </c>
      <c r="F364" s="9">
        <v>5</v>
      </c>
      <c r="G364" s="2">
        <v>0</v>
      </c>
      <c r="H36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64" s="19">
        <f>Clients[[#This Row],[Facture_Mensuelle]]*Clients[[#This Row],[Remise]]</f>
        <v>6.6464999999999996</v>
      </c>
    </row>
    <row r="365" spans="1:9" x14ac:dyDescent="0.25">
      <c r="A365" s="2" t="s">
        <v>398</v>
      </c>
      <c r="B365" s="2" t="s">
        <v>42</v>
      </c>
      <c r="C365" s="2" t="s">
        <v>13</v>
      </c>
      <c r="D365" s="3">
        <v>12.37</v>
      </c>
      <c r="E365" s="11">
        <v>9</v>
      </c>
      <c r="F365" s="9">
        <v>2</v>
      </c>
      <c r="G365" s="2">
        <v>5</v>
      </c>
      <c r="H36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65" s="19">
        <f>Clients[[#This Row],[Facture_Mensuelle]]*Clients[[#This Row],[Remise]]</f>
        <v>0</v>
      </c>
    </row>
    <row r="366" spans="1:9" x14ac:dyDescent="0.25">
      <c r="A366" s="2" t="s">
        <v>399</v>
      </c>
      <c r="B366" s="2" t="s">
        <v>65</v>
      </c>
      <c r="C366" s="2" t="s">
        <v>19</v>
      </c>
      <c r="D366" s="3">
        <v>11.63</v>
      </c>
      <c r="E366" s="11">
        <v>6</v>
      </c>
      <c r="F366" s="9">
        <v>6</v>
      </c>
      <c r="G366" s="2">
        <v>2</v>
      </c>
      <c r="H36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66" s="19">
        <f>Clients[[#This Row],[Facture_Mensuelle]]*Clients[[#This Row],[Remise]]</f>
        <v>5.2335000000000003</v>
      </c>
    </row>
    <row r="367" spans="1:9" x14ac:dyDescent="0.25">
      <c r="A367" s="2" t="s">
        <v>400</v>
      </c>
      <c r="B367" s="2" t="s">
        <v>62</v>
      </c>
      <c r="C367" s="2" t="s">
        <v>10</v>
      </c>
      <c r="D367" s="3">
        <v>11.46</v>
      </c>
      <c r="E367" s="11">
        <v>1</v>
      </c>
      <c r="F367" s="9">
        <v>4</v>
      </c>
      <c r="G367" s="2">
        <v>5</v>
      </c>
      <c r="H36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67" s="19">
        <f>Clients[[#This Row],[Facture_Mensuelle]]*Clients[[#This Row],[Remise]]</f>
        <v>5.1570000000000009</v>
      </c>
    </row>
    <row r="368" spans="1:9" x14ac:dyDescent="0.25">
      <c r="A368" s="2" t="s">
        <v>401</v>
      </c>
      <c r="B368" s="2" t="s">
        <v>156</v>
      </c>
      <c r="C368" s="2" t="s">
        <v>13</v>
      </c>
      <c r="D368" s="3">
        <v>28.96</v>
      </c>
      <c r="E368" s="11">
        <v>7</v>
      </c>
      <c r="F368" s="9">
        <v>3</v>
      </c>
      <c r="G368" s="2">
        <v>2</v>
      </c>
      <c r="H36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68" s="19">
        <f>Clients[[#This Row],[Facture_Mensuelle]]*Clients[[#This Row],[Remise]]</f>
        <v>0</v>
      </c>
    </row>
    <row r="369" spans="1:9" x14ac:dyDescent="0.25">
      <c r="A369" s="2" t="s">
        <v>402</v>
      </c>
      <c r="B369" s="2" t="s">
        <v>72</v>
      </c>
      <c r="C369" s="2" t="s">
        <v>13</v>
      </c>
      <c r="D369" s="3">
        <v>29.68</v>
      </c>
      <c r="E369" s="11">
        <v>9</v>
      </c>
      <c r="F369" s="9">
        <v>1</v>
      </c>
      <c r="G369" s="2">
        <v>0</v>
      </c>
      <c r="H36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69" s="19">
        <f>Clients[[#This Row],[Facture_Mensuelle]]*Clients[[#This Row],[Remise]]</f>
        <v>0</v>
      </c>
    </row>
    <row r="370" spans="1:9" x14ac:dyDescent="0.25">
      <c r="A370" s="2" t="s">
        <v>403</v>
      </c>
      <c r="B370" s="2" t="s">
        <v>57</v>
      </c>
      <c r="C370" s="2" t="s">
        <v>7</v>
      </c>
      <c r="D370" s="3">
        <v>26.95</v>
      </c>
      <c r="E370" s="11">
        <v>0</v>
      </c>
      <c r="F370" s="9">
        <v>4</v>
      </c>
      <c r="G370" s="2">
        <v>2</v>
      </c>
      <c r="H37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70" s="19">
        <f>Clients[[#This Row],[Facture_Mensuelle]]*Clients[[#This Row],[Remise]]</f>
        <v>12.1275</v>
      </c>
    </row>
    <row r="371" spans="1:9" x14ac:dyDescent="0.25">
      <c r="A371" s="2" t="s">
        <v>404</v>
      </c>
      <c r="B371" s="2" t="s">
        <v>28</v>
      </c>
      <c r="C371" s="2" t="s">
        <v>7</v>
      </c>
      <c r="D371" s="3">
        <v>45.58</v>
      </c>
      <c r="E371" s="11">
        <v>8</v>
      </c>
      <c r="F371" s="9">
        <v>4</v>
      </c>
      <c r="G371" s="2">
        <v>0</v>
      </c>
      <c r="H37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71" s="19">
        <f>Clients[[#This Row],[Facture_Mensuelle]]*Clients[[#This Row],[Remise]]</f>
        <v>20.510999999999999</v>
      </c>
    </row>
    <row r="372" spans="1:9" x14ac:dyDescent="0.25">
      <c r="A372" s="2" t="s">
        <v>405</v>
      </c>
      <c r="B372" s="2" t="s">
        <v>18</v>
      </c>
      <c r="C372" s="2" t="s">
        <v>13</v>
      </c>
      <c r="D372" s="3">
        <v>71.010000000000005</v>
      </c>
      <c r="E372" s="11">
        <v>9</v>
      </c>
      <c r="F372" s="9">
        <v>0</v>
      </c>
      <c r="G372" s="2">
        <v>1</v>
      </c>
      <c r="H37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72" s="19">
        <f>Clients[[#This Row],[Facture_Mensuelle]]*Clients[[#This Row],[Remise]]</f>
        <v>0</v>
      </c>
    </row>
    <row r="373" spans="1:9" x14ac:dyDescent="0.25">
      <c r="A373" s="2" t="s">
        <v>406</v>
      </c>
      <c r="B373" s="2" t="s">
        <v>62</v>
      </c>
      <c r="C373" s="2" t="s">
        <v>13</v>
      </c>
      <c r="D373" s="3">
        <v>87.24</v>
      </c>
      <c r="E373" s="11">
        <v>3</v>
      </c>
      <c r="F373" s="9">
        <v>5</v>
      </c>
      <c r="G373" s="2">
        <v>4</v>
      </c>
      <c r="H37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73" s="19">
        <f>Clients[[#This Row],[Facture_Mensuelle]]*Clients[[#This Row],[Remise]]</f>
        <v>39.257999999999996</v>
      </c>
    </row>
    <row r="374" spans="1:9" x14ac:dyDescent="0.25">
      <c r="A374" s="2" t="s">
        <v>407</v>
      </c>
      <c r="B374" s="2" t="s">
        <v>44</v>
      </c>
      <c r="C374" s="2" t="s">
        <v>7</v>
      </c>
      <c r="D374" s="3">
        <v>74.989999999999995</v>
      </c>
      <c r="E374" s="11">
        <v>2</v>
      </c>
      <c r="F374" s="9">
        <v>4</v>
      </c>
      <c r="G374" s="2">
        <v>1</v>
      </c>
      <c r="H37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74" s="19">
        <f>Clients[[#This Row],[Facture_Mensuelle]]*Clients[[#This Row],[Remise]]</f>
        <v>33.7455</v>
      </c>
    </row>
    <row r="375" spans="1:9" x14ac:dyDescent="0.25">
      <c r="A375" s="2" t="s">
        <v>408</v>
      </c>
      <c r="B375" s="2" t="s">
        <v>12</v>
      </c>
      <c r="C375" s="2" t="s">
        <v>13</v>
      </c>
      <c r="D375" s="3">
        <v>41.52</v>
      </c>
      <c r="E375" s="11">
        <v>1</v>
      </c>
      <c r="F375" s="9">
        <v>2</v>
      </c>
      <c r="G375" s="2">
        <v>0</v>
      </c>
      <c r="H37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75" s="19">
        <f>Clients[[#This Row],[Facture_Mensuelle]]*Clients[[#This Row],[Remise]]</f>
        <v>0</v>
      </c>
    </row>
    <row r="376" spans="1:9" x14ac:dyDescent="0.25">
      <c r="A376" s="2" t="s">
        <v>409</v>
      </c>
      <c r="B376" s="2" t="s">
        <v>44</v>
      </c>
      <c r="C376" s="2" t="s">
        <v>10</v>
      </c>
      <c r="D376" s="3">
        <v>68.78</v>
      </c>
      <c r="E376" s="11">
        <v>4</v>
      </c>
      <c r="F376" s="9">
        <v>6</v>
      </c>
      <c r="G376" s="2">
        <v>3</v>
      </c>
      <c r="H37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76" s="19">
        <f>Clients[[#This Row],[Facture_Mensuelle]]*Clients[[#This Row],[Remise]]</f>
        <v>30.951000000000001</v>
      </c>
    </row>
    <row r="377" spans="1:9" x14ac:dyDescent="0.25">
      <c r="A377" s="2" t="s">
        <v>410</v>
      </c>
      <c r="B377" s="2" t="s">
        <v>69</v>
      </c>
      <c r="C377" s="2" t="s">
        <v>10</v>
      </c>
      <c r="D377" s="3">
        <v>56.94</v>
      </c>
      <c r="E377" s="11">
        <v>5</v>
      </c>
      <c r="F377" s="9">
        <v>0</v>
      </c>
      <c r="G377" s="2">
        <v>4</v>
      </c>
      <c r="H37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77" s="19">
        <f>Clients[[#This Row],[Facture_Mensuelle]]*Clients[[#This Row],[Remise]]</f>
        <v>5.694</v>
      </c>
    </row>
    <row r="378" spans="1:9" x14ac:dyDescent="0.25">
      <c r="A378" s="2" t="s">
        <v>411</v>
      </c>
      <c r="B378" s="2" t="s">
        <v>62</v>
      </c>
      <c r="C378" s="2" t="s">
        <v>7</v>
      </c>
      <c r="D378" s="3">
        <v>13.62</v>
      </c>
      <c r="E378" s="11">
        <v>4</v>
      </c>
      <c r="F378" s="9">
        <v>7</v>
      </c>
      <c r="G378" s="2">
        <v>4</v>
      </c>
      <c r="H37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78" s="19">
        <f>Clients[[#This Row],[Facture_Mensuelle]]*Clients[[#This Row],[Remise]]</f>
        <v>6.1289999999999996</v>
      </c>
    </row>
    <row r="379" spans="1:9" x14ac:dyDescent="0.25">
      <c r="A379" s="2" t="s">
        <v>412</v>
      </c>
      <c r="B379" s="2" t="s">
        <v>15</v>
      </c>
      <c r="C379" s="2" t="s">
        <v>7</v>
      </c>
      <c r="D379" s="3">
        <v>22.81</v>
      </c>
      <c r="E379" s="11">
        <v>7</v>
      </c>
      <c r="F379" s="9">
        <v>8</v>
      </c>
      <c r="G379" s="2">
        <v>4</v>
      </c>
      <c r="H37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79" s="19">
        <f>Clients[[#This Row],[Facture_Mensuelle]]*Clients[[#This Row],[Remise]]</f>
        <v>10.2645</v>
      </c>
    </row>
    <row r="380" spans="1:9" x14ac:dyDescent="0.25">
      <c r="A380" s="2" t="s">
        <v>413</v>
      </c>
      <c r="B380" s="2" t="s">
        <v>57</v>
      </c>
      <c r="C380" s="2" t="s">
        <v>13</v>
      </c>
      <c r="D380" s="3">
        <v>30.35</v>
      </c>
      <c r="E380" s="11">
        <v>4</v>
      </c>
      <c r="F380" s="9">
        <v>0</v>
      </c>
      <c r="G380" s="2">
        <v>1</v>
      </c>
      <c r="H38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80" s="19">
        <f>Clients[[#This Row],[Facture_Mensuelle]]*Clients[[#This Row],[Remise]]</f>
        <v>0</v>
      </c>
    </row>
    <row r="381" spans="1:9" x14ac:dyDescent="0.25">
      <c r="A381" s="2" t="s">
        <v>414</v>
      </c>
      <c r="B381" s="2" t="s">
        <v>34</v>
      </c>
      <c r="C381" s="2" t="s">
        <v>19</v>
      </c>
      <c r="D381" s="3">
        <v>41.85</v>
      </c>
      <c r="E381" s="11">
        <v>8</v>
      </c>
      <c r="F381" s="9">
        <v>8</v>
      </c>
      <c r="G381" s="2">
        <v>4</v>
      </c>
      <c r="H38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81" s="19">
        <f>Clients[[#This Row],[Facture_Mensuelle]]*Clients[[#This Row],[Remise]]</f>
        <v>18.8325</v>
      </c>
    </row>
    <row r="382" spans="1:9" x14ac:dyDescent="0.25">
      <c r="A382" s="2" t="s">
        <v>415</v>
      </c>
      <c r="B382" s="2" t="s">
        <v>22</v>
      </c>
      <c r="C382" s="2" t="s">
        <v>13</v>
      </c>
      <c r="D382" s="3">
        <v>30.97</v>
      </c>
      <c r="E382" s="11">
        <v>2</v>
      </c>
      <c r="F382" s="9">
        <v>2</v>
      </c>
      <c r="G382" s="2">
        <v>4</v>
      </c>
      <c r="H38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82" s="19">
        <f>Clients[[#This Row],[Facture_Mensuelle]]*Clients[[#This Row],[Remise]]</f>
        <v>0</v>
      </c>
    </row>
    <row r="383" spans="1:9" x14ac:dyDescent="0.25">
      <c r="A383" s="2" t="s">
        <v>416</v>
      </c>
      <c r="B383" s="2" t="s">
        <v>156</v>
      </c>
      <c r="C383" s="2" t="s">
        <v>13</v>
      </c>
      <c r="D383" s="3">
        <v>15.1</v>
      </c>
      <c r="E383" s="11">
        <v>5</v>
      </c>
      <c r="F383" s="9">
        <v>1</v>
      </c>
      <c r="G383" s="2">
        <v>5</v>
      </c>
      <c r="H38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83" s="19">
        <f>Clients[[#This Row],[Facture_Mensuelle]]*Clients[[#This Row],[Remise]]</f>
        <v>0</v>
      </c>
    </row>
    <row r="384" spans="1:9" x14ac:dyDescent="0.25">
      <c r="A384" s="2" t="s">
        <v>417</v>
      </c>
      <c r="B384" s="2" t="s">
        <v>59</v>
      </c>
      <c r="C384" s="2" t="s">
        <v>13</v>
      </c>
      <c r="D384" s="3">
        <v>77.599999999999994</v>
      </c>
      <c r="E384" s="11">
        <v>5</v>
      </c>
      <c r="F384" s="9">
        <v>8</v>
      </c>
      <c r="G384" s="2">
        <v>4</v>
      </c>
      <c r="H38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84" s="19">
        <f>Clients[[#This Row],[Facture_Mensuelle]]*Clients[[#This Row],[Remise]]</f>
        <v>34.92</v>
      </c>
    </row>
    <row r="385" spans="1:9" x14ac:dyDescent="0.25">
      <c r="A385" s="2" t="s">
        <v>418</v>
      </c>
      <c r="B385" s="2" t="s">
        <v>30</v>
      </c>
      <c r="C385" s="2" t="s">
        <v>10</v>
      </c>
      <c r="D385" s="3">
        <v>29.37</v>
      </c>
      <c r="E385" s="11">
        <v>0</v>
      </c>
      <c r="F385" s="9">
        <v>8</v>
      </c>
      <c r="G385" s="2">
        <v>4</v>
      </c>
      <c r="H38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85" s="19">
        <f>Clients[[#This Row],[Facture_Mensuelle]]*Clients[[#This Row],[Remise]]</f>
        <v>13.2165</v>
      </c>
    </row>
    <row r="386" spans="1:9" x14ac:dyDescent="0.25">
      <c r="A386" s="2" t="s">
        <v>419</v>
      </c>
      <c r="B386" s="2" t="s">
        <v>44</v>
      </c>
      <c r="C386" s="2" t="s">
        <v>19</v>
      </c>
      <c r="D386" s="3">
        <v>11.29</v>
      </c>
      <c r="E386" s="11">
        <v>3</v>
      </c>
      <c r="F386" s="9">
        <v>3</v>
      </c>
      <c r="G386" s="2">
        <v>4</v>
      </c>
      <c r="H38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86" s="19">
        <f>Clients[[#This Row],[Facture_Mensuelle]]*Clients[[#This Row],[Remise]]</f>
        <v>5.0804999999999998</v>
      </c>
    </row>
    <row r="387" spans="1:9" x14ac:dyDescent="0.25">
      <c r="A387" s="2" t="s">
        <v>420</v>
      </c>
      <c r="B387" s="2" t="s">
        <v>30</v>
      </c>
      <c r="C387" s="2" t="s">
        <v>13</v>
      </c>
      <c r="D387" s="3">
        <v>86.14</v>
      </c>
      <c r="E387" s="11">
        <v>7</v>
      </c>
      <c r="F387" s="9">
        <v>3</v>
      </c>
      <c r="G387" s="2">
        <v>1</v>
      </c>
      <c r="H38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87" s="19">
        <f>Clients[[#This Row],[Facture_Mensuelle]]*Clients[[#This Row],[Remise]]</f>
        <v>0</v>
      </c>
    </row>
    <row r="388" spans="1:9" x14ac:dyDescent="0.25">
      <c r="A388" s="2" t="s">
        <v>421</v>
      </c>
      <c r="B388" s="2" t="s">
        <v>105</v>
      </c>
      <c r="C388" s="2" t="s">
        <v>19</v>
      </c>
      <c r="D388" s="3">
        <v>23.65</v>
      </c>
      <c r="E388" s="11">
        <v>7</v>
      </c>
      <c r="F388" s="9">
        <v>2</v>
      </c>
      <c r="G388" s="2">
        <v>0</v>
      </c>
      <c r="H38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88" s="19">
        <f>Clients[[#This Row],[Facture_Mensuelle]]*Clients[[#This Row],[Remise]]</f>
        <v>0</v>
      </c>
    </row>
    <row r="389" spans="1:9" x14ac:dyDescent="0.25">
      <c r="A389" s="2" t="s">
        <v>422</v>
      </c>
      <c r="B389" s="2" t="s">
        <v>22</v>
      </c>
      <c r="C389" s="2" t="s">
        <v>13</v>
      </c>
      <c r="D389" s="3">
        <v>33.76</v>
      </c>
      <c r="E389" s="11">
        <v>4</v>
      </c>
      <c r="F389" s="9">
        <v>6</v>
      </c>
      <c r="G389" s="2">
        <v>0</v>
      </c>
      <c r="H38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89" s="19">
        <f>Clients[[#This Row],[Facture_Mensuelle]]*Clients[[#This Row],[Remise]]</f>
        <v>15.192</v>
      </c>
    </row>
    <row r="390" spans="1:9" x14ac:dyDescent="0.25">
      <c r="A390" s="2" t="s">
        <v>423</v>
      </c>
      <c r="B390" s="2" t="s">
        <v>9</v>
      </c>
      <c r="C390" s="2" t="s">
        <v>19</v>
      </c>
      <c r="D390" s="3">
        <v>32.06</v>
      </c>
      <c r="E390" s="11">
        <v>9</v>
      </c>
      <c r="F390" s="9">
        <v>2</v>
      </c>
      <c r="G390" s="2">
        <v>0</v>
      </c>
      <c r="H39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90" s="19">
        <f>Clients[[#This Row],[Facture_Mensuelle]]*Clients[[#This Row],[Remise]]</f>
        <v>0</v>
      </c>
    </row>
    <row r="391" spans="1:9" x14ac:dyDescent="0.25">
      <c r="A391" s="2" t="s">
        <v>424</v>
      </c>
      <c r="B391" s="2" t="s">
        <v>57</v>
      </c>
      <c r="C391" s="2" t="s">
        <v>10</v>
      </c>
      <c r="D391" s="3">
        <v>64.349999999999994</v>
      </c>
      <c r="E391" s="11">
        <v>3</v>
      </c>
      <c r="F391" s="9">
        <v>1</v>
      </c>
      <c r="G391" s="2">
        <v>0</v>
      </c>
      <c r="H39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91" s="19">
        <f>Clients[[#This Row],[Facture_Mensuelle]]*Clients[[#This Row],[Remise]]</f>
        <v>6.4349999999999996</v>
      </c>
    </row>
    <row r="392" spans="1:9" x14ac:dyDescent="0.25">
      <c r="A392" s="2" t="s">
        <v>425</v>
      </c>
      <c r="B392" s="2" t="s">
        <v>34</v>
      </c>
      <c r="C392" s="2" t="s">
        <v>7</v>
      </c>
      <c r="D392" s="3">
        <v>34.450000000000003</v>
      </c>
      <c r="E392" s="11">
        <v>8</v>
      </c>
      <c r="F392" s="9">
        <v>1</v>
      </c>
      <c r="G392" s="2">
        <v>5</v>
      </c>
      <c r="H39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92" s="19">
        <f>Clients[[#This Row],[Facture_Mensuelle]]*Clients[[#This Row],[Remise]]</f>
        <v>0</v>
      </c>
    </row>
    <row r="393" spans="1:9" x14ac:dyDescent="0.25">
      <c r="A393" s="2" t="s">
        <v>426</v>
      </c>
      <c r="B393" s="2" t="s">
        <v>22</v>
      </c>
      <c r="C393" s="2" t="s">
        <v>10</v>
      </c>
      <c r="D393" s="3">
        <v>96.5</v>
      </c>
      <c r="E393" s="11">
        <v>7</v>
      </c>
      <c r="F393" s="9">
        <v>4</v>
      </c>
      <c r="G393" s="2">
        <v>5</v>
      </c>
      <c r="H39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93" s="19">
        <f>Clients[[#This Row],[Facture_Mensuelle]]*Clients[[#This Row],[Remise]]</f>
        <v>43.425000000000004</v>
      </c>
    </row>
    <row r="394" spans="1:9" x14ac:dyDescent="0.25">
      <c r="A394" s="2" t="s">
        <v>427</v>
      </c>
      <c r="B394" s="2" t="s">
        <v>57</v>
      </c>
      <c r="C394" s="2" t="s">
        <v>19</v>
      </c>
      <c r="D394" s="3">
        <v>94.77</v>
      </c>
      <c r="E394" s="11">
        <v>8</v>
      </c>
      <c r="F394" s="9">
        <v>1</v>
      </c>
      <c r="G394" s="2">
        <v>5</v>
      </c>
      <c r="H39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394" s="19">
        <f>Clients[[#This Row],[Facture_Mensuelle]]*Clients[[#This Row],[Remise]]</f>
        <v>0</v>
      </c>
    </row>
    <row r="395" spans="1:9" x14ac:dyDescent="0.25">
      <c r="A395" s="2" t="s">
        <v>428</v>
      </c>
      <c r="B395" s="2" t="s">
        <v>65</v>
      </c>
      <c r="C395" s="2" t="s">
        <v>10</v>
      </c>
      <c r="D395" s="3">
        <v>92.72</v>
      </c>
      <c r="E395" s="11">
        <v>3</v>
      </c>
      <c r="F395" s="9">
        <v>1</v>
      </c>
      <c r="G395" s="2">
        <v>0</v>
      </c>
      <c r="H39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95" s="19">
        <f>Clients[[#This Row],[Facture_Mensuelle]]*Clients[[#This Row],[Remise]]</f>
        <v>9.2720000000000002</v>
      </c>
    </row>
    <row r="396" spans="1:9" x14ac:dyDescent="0.25">
      <c r="A396" s="2" t="s">
        <v>429</v>
      </c>
      <c r="B396" s="2" t="s">
        <v>69</v>
      </c>
      <c r="C396" s="2" t="s">
        <v>7</v>
      </c>
      <c r="D396" s="3">
        <v>49.01</v>
      </c>
      <c r="E396" s="11">
        <v>5</v>
      </c>
      <c r="F396" s="9">
        <v>6</v>
      </c>
      <c r="G396" s="2">
        <v>0</v>
      </c>
      <c r="H39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96" s="19">
        <f>Clients[[#This Row],[Facture_Mensuelle]]*Clients[[#This Row],[Remise]]</f>
        <v>22.054500000000001</v>
      </c>
    </row>
    <row r="397" spans="1:9" x14ac:dyDescent="0.25">
      <c r="A397" s="2" t="s">
        <v>430</v>
      </c>
      <c r="B397" s="2" t="s">
        <v>6</v>
      </c>
      <c r="C397" s="2" t="s">
        <v>10</v>
      </c>
      <c r="D397" s="3">
        <v>43.95</v>
      </c>
      <c r="E397" s="11">
        <v>0</v>
      </c>
      <c r="F397" s="9">
        <v>7</v>
      </c>
      <c r="G397" s="2">
        <v>2</v>
      </c>
      <c r="H39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97" s="19">
        <f>Clients[[#This Row],[Facture_Mensuelle]]*Clients[[#This Row],[Remise]]</f>
        <v>19.777500000000003</v>
      </c>
    </row>
    <row r="398" spans="1:9" x14ac:dyDescent="0.25">
      <c r="A398" s="2" t="s">
        <v>431</v>
      </c>
      <c r="B398" s="2" t="s">
        <v>62</v>
      </c>
      <c r="C398" s="2" t="s">
        <v>10</v>
      </c>
      <c r="D398" s="3">
        <v>85.54</v>
      </c>
      <c r="E398" s="11">
        <v>1</v>
      </c>
      <c r="F398" s="9">
        <v>3</v>
      </c>
      <c r="G398" s="2">
        <v>3</v>
      </c>
      <c r="H39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398" s="19">
        <f>Clients[[#This Row],[Facture_Mensuelle]]*Clients[[#This Row],[Remise]]</f>
        <v>8.5540000000000003</v>
      </c>
    </row>
    <row r="399" spans="1:9" x14ac:dyDescent="0.25">
      <c r="A399" s="2" t="s">
        <v>432</v>
      </c>
      <c r="B399" s="2" t="s">
        <v>57</v>
      </c>
      <c r="C399" s="2" t="s">
        <v>10</v>
      </c>
      <c r="D399" s="3">
        <v>96.31</v>
      </c>
      <c r="E399" s="11">
        <v>6</v>
      </c>
      <c r="F399" s="9">
        <v>5</v>
      </c>
      <c r="G399" s="2">
        <v>1</v>
      </c>
      <c r="H39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399" s="19">
        <f>Clients[[#This Row],[Facture_Mensuelle]]*Clients[[#This Row],[Remise]]</f>
        <v>43.339500000000001</v>
      </c>
    </row>
    <row r="400" spans="1:9" x14ac:dyDescent="0.25">
      <c r="A400" s="2" t="s">
        <v>433</v>
      </c>
      <c r="B400" s="2" t="s">
        <v>105</v>
      </c>
      <c r="C400" s="2" t="s">
        <v>13</v>
      </c>
      <c r="D400" s="3">
        <v>22.77</v>
      </c>
      <c r="E400" s="11">
        <v>4</v>
      </c>
      <c r="F400" s="9">
        <v>0</v>
      </c>
      <c r="G400" s="2">
        <v>3</v>
      </c>
      <c r="H40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00" s="19">
        <f>Clients[[#This Row],[Facture_Mensuelle]]*Clients[[#This Row],[Remise]]</f>
        <v>0</v>
      </c>
    </row>
    <row r="401" spans="1:9" x14ac:dyDescent="0.25">
      <c r="A401" s="2" t="s">
        <v>434</v>
      </c>
      <c r="B401" s="2" t="s">
        <v>18</v>
      </c>
      <c r="C401" s="2" t="s">
        <v>7</v>
      </c>
      <c r="D401" s="3">
        <v>51.99</v>
      </c>
      <c r="E401" s="11">
        <v>1</v>
      </c>
      <c r="F401" s="9">
        <v>4</v>
      </c>
      <c r="G401" s="2">
        <v>1</v>
      </c>
      <c r="H40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01" s="19">
        <f>Clients[[#This Row],[Facture_Mensuelle]]*Clients[[#This Row],[Remise]]</f>
        <v>23.395500000000002</v>
      </c>
    </row>
    <row r="402" spans="1:9" x14ac:dyDescent="0.25">
      <c r="A402" s="2" t="s">
        <v>435</v>
      </c>
      <c r="B402" s="2" t="s">
        <v>72</v>
      </c>
      <c r="C402" s="2" t="s">
        <v>19</v>
      </c>
      <c r="D402" s="3">
        <v>15.01</v>
      </c>
      <c r="E402" s="11">
        <v>3</v>
      </c>
      <c r="F402" s="9">
        <v>4</v>
      </c>
      <c r="G402" s="2">
        <v>3</v>
      </c>
      <c r="H40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02" s="19">
        <f>Clients[[#This Row],[Facture_Mensuelle]]*Clients[[#This Row],[Remise]]</f>
        <v>6.7545000000000002</v>
      </c>
    </row>
    <row r="403" spans="1:9" x14ac:dyDescent="0.25">
      <c r="A403" s="2" t="s">
        <v>436</v>
      </c>
      <c r="B403" s="2" t="s">
        <v>69</v>
      </c>
      <c r="C403" s="2" t="s">
        <v>13</v>
      </c>
      <c r="D403" s="3">
        <v>62.61</v>
      </c>
      <c r="E403" s="11">
        <v>3</v>
      </c>
      <c r="F403" s="9">
        <v>6</v>
      </c>
      <c r="G403" s="2">
        <v>2</v>
      </c>
      <c r="H40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03" s="19">
        <f>Clients[[#This Row],[Facture_Mensuelle]]*Clients[[#This Row],[Remise]]</f>
        <v>28.174500000000002</v>
      </c>
    </row>
    <row r="404" spans="1:9" x14ac:dyDescent="0.25">
      <c r="A404" s="2" t="s">
        <v>437</v>
      </c>
      <c r="B404" s="2" t="s">
        <v>156</v>
      </c>
      <c r="C404" s="2" t="s">
        <v>13</v>
      </c>
      <c r="D404" s="3">
        <v>39.14</v>
      </c>
      <c r="E404" s="11">
        <v>8</v>
      </c>
      <c r="F404" s="9">
        <v>2</v>
      </c>
      <c r="G404" s="2">
        <v>3</v>
      </c>
      <c r="H40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04" s="19">
        <f>Clients[[#This Row],[Facture_Mensuelle]]*Clients[[#This Row],[Remise]]</f>
        <v>0</v>
      </c>
    </row>
    <row r="405" spans="1:9" x14ac:dyDescent="0.25">
      <c r="A405" s="2" t="s">
        <v>438</v>
      </c>
      <c r="B405" s="2" t="s">
        <v>32</v>
      </c>
      <c r="C405" s="2" t="s">
        <v>10</v>
      </c>
      <c r="D405" s="3">
        <v>46.98</v>
      </c>
      <c r="E405" s="11">
        <v>2</v>
      </c>
      <c r="F405" s="9">
        <v>1</v>
      </c>
      <c r="G405" s="2">
        <v>2</v>
      </c>
      <c r="H40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05" s="19">
        <f>Clients[[#This Row],[Facture_Mensuelle]]*Clients[[#This Row],[Remise]]</f>
        <v>4.6979999999999995</v>
      </c>
    </row>
    <row r="406" spans="1:9" x14ac:dyDescent="0.25">
      <c r="A406" s="2" t="s">
        <v>439</v>
      </c>
      <c r="B406" s="2" t="s">
        <v>22</v>
      </c>
      <c r="C406" s="2" t="s">
        <v>19</v>
      </c>
      <c r="D406" s="3">
        <v>55.47</v>
      </c>
      <c r="E406" s="11">
        <v>9</v>
      </c>
      <c r="F406" s="9">
        <v>8</v>
      </c>
      <c r="G406" s="2">
        <v>4</v>
      </c>
      <c r="H40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06" s="19">
        <f>Clients[[#This Row],[Facture_Mensuelle]]*Clients[[#This Row],[Remise]]</f>
        <v>24.961500000000001</v>
      </c>
    </row>
    <row r="407" spans="1:9" x14ac:dyDescent="0.25">
      <c r="A407" s="2" t="s">
        <v>440</v>
      </c>
      <c r="B407" s="2" t="s">
        <v>48</v>
      </c>
      <c r="C407" s="2" t="s">
        <v>7</v>
      </c>
      <c r="D407" s="3">
        <v>20.32</v>
      </c>
      <c r="E407" s="11">
        <v>2</v>
      </c>
      <c r="F407" s="9">
        <v>1</v>
      </c>
      <c r="G407" s="2">
        <v>3</v>
      </c>
      <c r="H40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07" s="19">
        <f>Clients[[#This Row],[Facture_Mensuelle]]*Clients[[#This Row],[Remise]]</f>
        <v>0</v>
      </c>
    </row>
    <row r="408" spans="1:9" x14ac:dyDescent="0.25">
      <c r="A408" s="2" t="s">
        <v>441</v>
      </c>
      <c r="B408" s="2" t="s">
        <v>62</v>
      </c>
      <c r="C408" s="2" t="s">
        <v>7</v>
      </c>
      <c r="D408" s="3">
        <v>40.21</v>
      </c>
      <c r="E408" s="11">
        <v>-3</v>
      </c>
      <c r="F408" s="9">
        <v>7</v>
      </c>
      <c r="G408" s="2">
        <v>1</v>
      </c>
      <c r="H40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08" s="19">
        <f>Clients[[#This Row],[Facture_Mensuelle]]*Clients[[#This Row],[Remise]]</f>
        <v>18.0945</v>
      </c>
    </row>
    <row r="409" spans="1:9" x14ac:dyDescent="0.25">
      <c r="A409" s="2" t="s">
        <v>442</v>
      </c>
      <c r="B409" s="2" t="s">
        <v>72</v>
      </c>
      <c r="C409" s="2" t="s">
        <v>13</v>
      </c>
      <c r="D409" s="3">
        <v>20.62</v>
      </c>
      <c r="E409" s="11">
        <v>8</v>
      </c>
      <c r="F409" s="9">
        <v>7</v>
      </c>
      <c r="G409" s="2">
        <v>2</v>
      </c>
      <c r="H40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09" s="19">
        <f>Clients[[#This Row],[Facture_Mensuelle]]*Clients[[#This Row],[Remise]]</f>
        <v>9.2789999999999999</v>
      </c>
    </row>
    <row r="410" spans="1:9" x14ac:dyDescent="0.25">
      <c r="A410" s="2" t="s">
        <v>443</v>
      </c>
      <c r="B410" s="2" t="s">
        <v>22</v>
      </c>
      <c r="C410" s="2" t="s">
        <v>10</v>
      </c>
      <c r="D410" s="3">
        <v>88.88</v>
      </c>
      <c r="E410" s="11">
        <v>3</v>
      </c>
      <c r="F410" s="9">
        <v>7</v>
      </c>
      <c r="G410" s="2">
        <v>4</v>
      </c>
      <c r="H41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10" s="19">
        <f>Clients[[#This Row],[Facture_Mensuelle]]*Clients[[#This Row],[Remise]]</f>
        <v>39.996000000000002</v>
      </c>
    </row>
    <row r="411" spans="1:9" x14ac:dyDescent="0.25">
      <c r="A411" s="2" t="s">
        <v>444</v>
      </c>
      <c r="B411" s="2" t="s">
        <v>42</v>
      </c>
      <c r="C411" s="2" t="s">
        <v>19</v>
      </c>
      <c r="D411" s="3">
        <v>35.17</v>
      </c>
      <c r="E411" s="11">
        <v>0</v>
      </c>
      <c r="F411" s="9">
        <v>6</v>
      </c>
      <c r="G411" s="2">
        <v>1</v>
      </c>
      <c r="H41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11" s="19">
        <f>Clients[[#This Row],[Facture_Mensuelle]]*Clients[[#This Row],[Remise]]</f>
        <v>15.826500000000001</v>
      </c>
    </row>
    <row r="412" spans="1:9" x14ac:dyDescent="0.25">
      <c r="A412" s="2" t="s">
        <v>445</v>
      </c>
      <c r="B412" s="2" t="s">
        <v>12</v>
      </c>
      <c r="C412" s="2" t="s">
        <v>13</v>
      </c>
      <c r="D412" s="3">
        <v>29.18</v>
      </c>
      <c r="E412" s="11">
        <v>10</v>
      </c>
      <c r="F412" s="9">
        <v>6</v>
      </c>
      <c r="G412" s="2">
        <v>5</v>
      </c>
      <c r="H41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12" s="19">
        <f>Clients[[#This Row],[Facture_Mensuelle]]*Clients[[#This Row],[Remise]]</f>
        <v>13.131</v>
      </c>
    </row>
    <row r="413" spans="1:9" x14ac:dyDescent="0.25">
      <c r="A413" s="2" t="s">
        <v>446</v>
      </c>
      <c r="B413" s="2" t="s">
        <v>62</v>
      </c>
      <c r="C413" s="2" t="s">
        <v>13</v>
      </c>
      <c r="D413" s="3">
        <v>31.56</v>
      </c>
      <c r="E413" s="11">
        <v>4</v>
      </c>
      <c r="F413" s="9">
        <v>7</v>
      </c>
      <c r="G413" s="2">
        <v>5</v>
      </c>
      <c r="H41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13" s="19">
        <f>Clients[[#This Row],[Facture_Mensuelle]]*Clients[[#This Row],[Remise]]</f>
        <v>14.202</v>
      </c>
    </row>
    <row r="414" spans="1:9" x14ac:dyDescent="0.25">
      <c r="A414" s="2" t="s">
        <v>447</v>
      </c>
      <c r="B414" s="2" t="s">
        <v>24</v>
      </c>
      <c r="C414" s="2" t="s">
        <v>19</v>
      </c>
      <c r="D414" s="3">
        <v>56.29</v>
      </c>
      <c r="E414" s="11">
        <v>6</v>
      </c>
      <c r="F414" s="9">
        <v>3</v>
      </c>
      <c r="G414" s="2">
        <v>1</v>
      </c>
      <c r="H41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14" s="19">
        <f>Clients[[#This Row],[Facture_Mensuelle]]*Clients[[#This Row],[Remise]]</f>
        <v>0</v>
      </c>
    </row>
    <row r="415" spans="1:9" x14ac:dyDescent="0.25">
      <c r="A415" s="2" t="s">
        <v>448</v>
      </c>
      <c r="B415" s="2" t="s">
        <v>30</v>
      </c>
      <c r="C415" s="2" t="s">
        <v>19</v>
      </c>
      <c r="D415" s="3">
        <v>74.7</v>
      </c>
      <c r="E415" s="11">
        <v>2</v>
      </c>
      <c r="F415" s="9">
        <v>4</v>
      </c>
      <c r="G415" s="2">
        <v>3</v>
      </c>
      <c r="H41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15" s="19">
        <f>Clients[[#This Row],[Facture_Mensuelle]]*Clients[[#This Row],[Remise]]</f>
        <v>33.615000000000002</v>
      </c>
    </row>
    <row r="416" spans="1:9" x14ac:dyDescent="0.25">
      <c r="A416" s="2" t="s">
        <v>449</v>
      </c>
      <c r="B416" s="2" t="s">
        <v>105</v>
      </c>
      <c r="C416" s="2" t="s">
        <v>7</v>
      </c>
      <c r="D416" s="3">
        <v>23.35</v>
      </c>
      <c r="E416" s="11">
        <v>7</v>
      </c>
      <c r="F416" s="9">
        <v>8</v>
      </c>
      <c r="G416" s="2">
        <v>5</v>
      </c>
      <c r="H41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16" s="19">
        <f>Clients[[#This Row],[Facture_Mensuelle]]*Clients[[#This Row],[Remise]]</f>
        <v>10.5075</v>
      </c>
    </row>
    <row r="417" spans="1:9" x14ac:dyDescent="0.25">
      <c r="A417" s="2" t="s">
        <v>450</v>
      </c>
      <c r="B417" s="2" t="s">
        <v>97</v>
      </c>
      <c r="C417" s="2" t="s">
        <v>10</v>
      </c>
      <c r="D417" s="3">
        <v>10.98</v>
      </c>
      <c r="E417" s="11">
        <v>10</v>
      </c>
      <c r="F417" s="9">
        <v>3</v>
      </c>
      <c r="G417" s="2">
        <v>0</v>
      </c>
      <c r="H41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17" s="19">
        <f>Clients[[#This Row],[Facture_Mensuelle]]*Clients[[#This Row],[Remise]]</f>
        <v>1.0980000000000001</v>
      </c>
    </row>
    <row r="418" spans="1:9" x14ac:dyDescent="0.25">
      <c r="A418" s="2" t="s">
        <v>451</v>
      </c>
      <c r="B418" s="2" t="s">
        <v>57</v>
      </c>
      <c r="C418" s="2" t="s">
        <v>7</v>
      </c>
      <c r="D418" s="3">
        <v>56.34</v>
      </c>
      <c r="E418" s="11">
        <v>7</v>
      </c>
      <c r="F418" s="9">
        <v>4</v>
      </c>
      <c r="G418" s="2">
        <v>5</v>
      </c>
      <c r="H41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18" s="19">
        <f>Clients[[#This Row],[Facture_Mensuelle]]*Clients[[#This Row],[Remise]]</f>
        <v>25.353000000000002</v>
      </c>
    </row>
    <row r="419" spans="1:9" x14ac:dyDescent="0.25">
      <c r="A419" s="2" t="s">
        <v>452</v>
      </c>
      <c r="B419" s="2" t="s">
        <v>65</v>
      </c>
      <c r="C419" s="2" t="s">
        <v>7</v>
      </c>
      <c r="D419" s="3">
        <v>57.74</v>
      </c>
      <c r="E419" s="11">
        <v>2</v>
      </c>
      <c r="F419" s="9">
        <v>0</v>
      </c>
      <c r="G419" s="2">
        <v>0</v>
      </c>
      <c r="H41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19" s="19">
        <f>Clients[[#This Row],[Facture_Mensuelle]]*Clients[[#This Row],[Remise]]</f>
        <v>0</v>
      </c>
    </row>
    <row r="420" spans="1:9" x14ac:dyDescent="0.25">
      <c r="A420" s="2" t="s">
        <v>453</v>
      </c>
      <c r="B420" s="2" t="s">
        <v>156</v>
      </c>
      <c r="C420" s="2" t="s">
        <v>13</v>
      </c>
      <c r="D420" s="3">
        <v>41.92</v>
      </c>
      <c r="E420" s="11">
        <v>2</v>
      </c>
      <c r="F420" s="9">
        <v>7</v>
      </c>
      <c r="G420" s="2">
        <v>3</v>
      </c>
      <c r="H42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20" s="19">
        <f>Clients[[#This Row],[Facture_Mensuelle]]*Clients[[#This Row],[Remise]]</f>
        <v>18.864000000000001</v>
      </c>
    </row>
    <row r="421" spans="1:9" x14ac:dyDescent="0.25">
      <c r="A421" s="2" t="s">
        <v>454</v>
      </c>
      <c r="B421" s="2" t="s">
        <v>97</v>
      </c>
      <c r="C421" s="2" t="s">
        <v>7</v>
      </c>
      <c r="D421" s="3">
        <v>70.08</v>
      </c>
      <c r="E421" s="11">
        <v>8</v>
      </c>
      <c r="F421" s="9">
        <v>6</v>
      </c>
      <c r="G421" s="2">
        <v>5</v>
      </c>
      <c r="H42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21" s="19">
        <f>Clients[[#This Row],[Facture_Mensuelle]]*Clients[[#This Row],[Remise]]</f>
        <v>31.536000000000001</v>
      </c>
    </row>
    <row r="422" spans="1:9" x14ac:dyDescent="0.25">
      <c r="A422" s="2" t="s">
        <v>455</v>
      </c>
      <c r="B422" s="2" t="s">
        <v>97</v>
      </c>
      <c r="C422" s="2" t="s">
        <v>7</v>
      </c>
      <c r="D422" s="3">
        <v>40.29</v>
      </c>
      <c r="E422" s="11">
        <v>10</v>
      </c>
      <c r="F422" s="9">
        <v>6</v>
      </c>
      <c r="G422" s="2">
        <v>5</v>
      </c>
      <c r="H42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22" s="19">
        <f>Clients[[#This Row],[Facture_Mensuelle]]*Clients[[#This Row],[Remise]]</f>
        <v>18.130500000000001</v>
      </c>
    </row>
    <row r="423" spans="1:9" x14ac:dyDescent="0.25">
      <c r="A423" s="2" t="s">
        <v>456</v>
      </c>
      <c r="B423" s="2" t="s">
        <v>72</v>
      </c>
      <c r="C423" s="2" t="s">
        <v>10</v>
      </c>
      <c r="D423" s="3">
        <v>55.04</v>
      </c>
      <c r="E423" s="11">
        <v>8</v>
      </c>
      <c r="F423" s="9">
        <v>8</v>
      </c>
      <c r="G423" s="2">
        <v>5</v>
      </c>
      <c r="H42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23" s="19">
        <f>Clients[[#This Row],[Facture_Mensuelle]]*Clients[[#This Row],[Remise]]</f>
        <v>24.768000000000001</v>
      </c>
    </row>
    <row r="424" spans="1:9" x14ac:dyDescent="0.25">
      <c r="A424" s="2" t="s">
        <v>457</v>
      </c>
      <c r="B424" s="2" t="s">
        <v>69</v>
      </c>
      <c r="C424" s="2" t="s">
        <v>7</v>
      </c>
      <c r="D424" s="3">
        <v>78.150000000000006</v>
      </c>
      <c r="E424" s="11">
        <v>1</v>
      </c>
      <c r="F424" s="9">
        <v>5</v>
      </c>
      <c r="G424" s="2">
        <v>4</v>
      </c>
      <c r="H42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24" s="19">
        <f>Clients[[#This Row],[Facture_Mensuelle]]*Clients[[#This Row],[Remise]]</f>
        <v>35.167500000000004</v>
      </c>
    </row>
    <row r="425" spans="1:9" x14ac:dyDescent="0.25">
      <c r="A425" s="2" t="s">
        <v>458</v>
      </c>
      <c r="B425" s="2" t="s">
        <v>72</v>
      </c>
      <c r="C425" s="2" t="s">
        <v>7</v>
      </c>
      <c r="D425" s="3">
        <v>59.46</v>
      </c>
      <c r="E425" s="11">
        <v>4</v>
      </c>
      <c r="F425" s="9">
        <v>4</v>
      </c>
      <c r="G425" s="2">
        <v>4</v>
      </c>
      <c r="H42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25" s="19">
        <f>Clients[[#This Row],[Facture_Mensuelle]]*Clients[[#This Row],[Remise]]</f>
        <v>26.757000000000001</v>
      </c>
    </row>
    <row r="426" spans="1:9" x14ac:dyDescent="0.25">
      <c r="A426" s="2" t="s">
        <v>459</v>
      </c>
      <c r="B426" s="2" t="s">
        <v>22</v>
      </c>
      <c r="C426" s="2" t="s">
        <v>7</v>
      </c>
      <c r="D426" s="3">
        <v>52.98</v>
      </c>
      <c r="E426" s="11">
        <v>1</v>
      </c>
      <c r="F426" s="9">
        <v>3</v>
      </c>
      <c r="G426" s="2">
        <v>0</v>
      </c>
      <c r="H42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26" s="19">
        <f>Clients[[#This Row],[Facture_Mensuelle]]*Clients[[#This Row],[Remise]]</f>
        <v>0</v>
      </c>
    </row>
    <row r="427" spans="1:9" x14ac:dyDescent="0.25">
      <c r="A427" s="2" t="s">
        <v>460</v>
      </c>
      <c r="B427" s="2" t="s">
        <v>38</v>
      </c>
      <c r="C427" s="2" t="s">
        <v>10</v>
      </c>
      <c r="D427" s="3">
        <v>59.96</v>
      </c>
      <c r="E427" s="11">
        <v>1</v>
      </c>
      <c r="F427" s="9">
        <v>5</v>
      </c>
      <c r="G427" s="2">
        <v>3</v>
      </c>
      <c r="H42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27" s="19">
        <f>Clients[[#This Row],[Facture_Mensuelle]]*Clients[[#This Row],[Remise]]</f>
        <v>26.981999999999999</v>
      </c>
    </row>
    <row r="428" spans="1:9" x14ac:dyDescent="0.25">
      <c r="A428" s="2" t="s">
        <v>461</v>
      </c>
      <c r="B428" s="2" t="s">
        <v>105</v>
      </c>
      <c r="C428" s="2" t="s">
        <v>10</v>
      </c>
      <c r="D428" s="3">
        <v>53.97</v>
      </c>
      <c r="E428" s="11">
        <v>2</v>
      </c>
      <c r="F428" s="9">
        <v>3</v>
      </c>
      <c r="G428" s="2">
        <v>5</v>
      </c>
      <c r="H42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28" s="19">
        <f>Clients[[#This Row],[Facture_Mensuelle]]*Clients[[#This Row],[Remise]]</f>
        <v>5.3970000000000002</v>
      </c>
    </row>
    <row r="429" spans="1:9" x14ac:dyDescent="0.25">
      <c r="A429" s="2" t="s">
        <v>462</v>
      </c>
      <c r="B429" s="2" t="s">
        <v>105</v>
      </c>
      <c r="C429" s="2" t="s">
        <v>10</v>
      </c>
      <c r="D429" s="3">
        <v>59.87</v>
      </c>
      <c r="E429" s="11">
        <v>7</v>
      </c>
      <c r="F429" s="9">
        <v>6</v>
      </c>
      <c r="G429" s="2">
        <v>0</v>
      </c>
      <c r="H42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29" s="19">
        <f>Clients[[#This Row],[Facture_Mensuelle]]*Clients[[#This Row],[Remise]]</f>
        <v>26.941499999999998</v>
      </c>
    </row>
    <row r="430" spans="1:9" x14ac:dyDescent="0.25">
      <c r="A430" s="2" t="s">
        <v>463</v>
      </c>
      <c r="B430" s="2" t="s">
        <v>18</v>
      </c>
      <c r="C430" s="2" t="s">
        <v>7</v>
      </c>
      <c r="D430" s="3">
        <v>35.32</v>
      </c>
      <c r="E430" s="11">
        <v>8</v>
      </c>
      <c r="F430" s="9">
        <v>1</v>
      </c>
      <c r="G430" s="2">
        <v>0</v>
      </c>
      <c r="H43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30" s="19">
        <f>Clients[[#This Row],[Facture_Mensuelle]]*Clients[[#This Row],[Remise]]</f>
        <v>0</v>
      </c>
    </row>
    <row r="431" spans="1:9" x14ac:dyDescent="0.25">
      <c r="A431" s="2" t="s">
        <v>464</v>
      </c>
      <c r="B431" s="2" t="s">
        <v>44</v>
      </c>
      <c r="C431" s="2" t="s">
        <v>10</v>
      </c>
      <c r="D431" s="3">
        <v>76.75</v>
      </c>
      <c r="E431" s="11">
        <v>8</v>
      </c>
      <c r="F431" s="9">
        <v>3</v>
      </c>
      <c r="G431" s="2">
        <v>5</v>
      </c>
      <c r="H43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31" s="19">
        <f>Clients[[#This Row],[Facture_Mensuelle]]*Clients[[#This Row],[Remise]]</f>
        <v>7.6750000000000007</v>
      </c>
    </row>
    <row r="432" spans="1:9" x14ac:dyDescent="0.25">
      <c r="A432" s="2" t="s">
        <v>465</v>
      </c>
      <c r="B432" s="2" t="s">
        <v>9</v>
      </c>
      <c r="C432" s="2" t="s">
        <v>19</v>
      </c>
      <c r="D432" s="3">
        <v>71.19</v>
      </c>
      <c r="E432" s="11">
        <v>7</v>
      </c>
      <c r="F432" s="9">
        <v>6</v>
      </c>
      <c r="G432" s="2">
        <v>3</v>
      </c>
      <c r="H43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32" s="19">
        <f>Clients[[#This Row],[Facture_Mensuelle]]*Clients[[#This Row],[Remise]]</f>
        <v>32.035499999999999</v>
      </c>
    </row>
    <row r="433" spans="1:9" x14ac:dyDescent="0.25">
      <c r="A433" s="2" t="s">
        <v>466</v>
      </c>
      <c r="B433" s="2" t="s">
        <v>18</v>
      </c>
      <c r="C433" s="2" t="s">
        <v>7</v>
      </c>
      <c r="D433" s="3">
        <v>41.29</v>
      </c>
      <c r="E433" s="11">
        <v>1</v>
      </c>
      <c r="F433" s="9">
        <v>1</v>
      </c>
      <c r="G433" s="2">
        <v>4</v>
      </c>
      <c r="H43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33" s="19">
        <f>Clients[[#This Row],[Facture_Mensuelle]]*Clients[[#This Row],[Remise]]</f>
        <v>0</v>
      </c>
    </row>
    <row r="434" spans="1:9" x14ac:dyDescent="0.25">
      <c r="A434" s="2" t="s">
        <v>467</v>
      </c>
      <c r="B434" s="2" t="s">
        <v>18</v>
      </c>
      <c r="C434" s="2" t="s">
        <v>10</v>
      </c>
      <c r="D434" s="3">
        <v>35.43</v>
      </c>
      <c r="E434" s="11">
        <v>6</v>
      </c>
      <c r="F434" s="9">
        <v>5</v>
      </c>
      <c r="G434" s="2">
        <v>1</v>
      </c>
      <c r="H43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34" s="19">
        <f>Clients[[#This Row],[Facture_Mensuelle]]*Clients[[#This Row],[Remise]]</f>
        <v>15.9435</v>
      </c>
    </row>
    <row r="435" spans="1:9" x14ac:dyDescent="0.25">
      <c r="A435" s="2" t="s">
        <v>468</v>
      </c>
      <c r="B435" s="2" t="s">
        <v>48</v>
      </c>
      <c r="C435" s="2" t="s">
        <v>7</v>
      </c>
      <c r="D435" s="3">
        <v>69.599999999999994</v>
      </c>
      <c r="E435" s="11">
        <v>1</v>
      </c>
      <c r="F435" s="9">
        <v>7</v>
      </c>
      <c r="G435" s="2">
        <v>5</v>
      </c>
      <c r="H43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35" s="19">
        <f>Clients[[#This Row],[Facture_Mensuelle]]*Clients[[#This Row],[Remise]]</f>
        <v>31.319999999999997</v>
      </c>
    </row>
    <row r="436" spans="1:9" x14ac:dyDescent="0.25">
      <c r="A436" s="2" t="s">
        <v>469</v>
      </c>
      <c r="B436" s="2" t="s">
        <v>6</v>
      </c>
      <c r="C436" s="2" t="s">
        <v>13</v>
      </c>
      <c r="D436" s="3">
        <v>52.16</v>
      </c>
      <c r="E436" s="11">
        <v>0</v>
      </c>
      <c r="F436" s="9">
        <v>4</v>
      </c>
      <c r="G436" s="2">
        <v>3</v>
      </c>
      <c r="H43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36" s="19">
        <f>Clients[[#This Row],[Facture_Mensuelle]]*Clients[[#This Row],[Remise]]</f>
        <v>23.471999999999998</v>
      </c>
    </row>
    <row r="437" spans="1:9" x14ac:dyDescent="0.25">
      <c r="A437" s="2" t="s">
        <v>470</v>
      </c>
      <c r="B437" s="2" t="s">
        <v>156</v>
      </c>
      <c r="C437" s="2" t="s">
        <v>10</v>
      </c>
      <c r="D437" s="3">
        <v>44.14</v>
      </c>
      <c r="E437" s="11">
        <v>8</v>
      </c>
      <c r="F437" s="9">
        <v>3</v>
      </c>
      <c r="G437" s="2">
        <v>3</v>
      </c>
      <c r="H43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37" s="19">
        <f>Clients[[#This Row],[Facture_Mensuelle]]*Clients[[#This Row],[Remise]]</f>
        <v>4.4140000000000006</v>
      </c>
    </row>
    <row r="438" spans="1:9" x14ac:dyDescent="0.25">
      <c r="A438" s="2" t="s">
        <v>471</v>
      </c>
      <c r="B438" s="2" t="s">
        <v>30</v>
      </c>
      <c r="C438" s="2" t="s">
        <v>13</v>
      </c>
      <c r="D438" s="3">
        <v>91.6</v>
      </c>
      <c r="E438" s="11">
        <v>0</v>
      </c>
      <c r="F438" s="9">
        <v>6</v>
      </c>
      <c r="G438" s="2">
        <v>3</v>
      </c>
      <c r="H43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38" s="19">
        <f>Clients[[#This Row],[Facture_Mensuelle]]*Clients[[#This Row],[Remise]]</f>
        <v>41.22</v>
      </c>
    </row>
    <row r="439" spans="1:9" x14ac:dyDescent="0.25">
      <c r="A439" s="2" t="s">
        <v>472</v>
      </c>
      <c r="B439" s="2" t="s">
        <v>30</v>
      </c>
      <c r="C439" s="2" t="s">
        <v>19</v>
      </c>
      <c r="D439" s="3">
        <v>35.03</v>
      </c>
      <c r="E439" s="11">
        <v>7</v>
      </c>
      <c r="F439" s="9">
        <v>5</v>
      </c>
      <c r="G439" s="2">
        <v>1</v>
      </c>
      <c r="H43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39" s="19">
        <f>Clients[[#This Row],[Facture_Mensuelle]]*Clients[[#This Row],[Remise]]</f>
        <v>15.763500000000001</v>
      </c>
    </row>
    <row r="440" spans="1:9" x14ac:dyDescent="0.25">
      <c r="A440" s="2" t="s">
        <v>473</v>
      </c>
      <c r="B440" s="2" t="s">
        <v>32</v>
      </c>
      <c r="C440" s="2" t="s">
        <v>19</v>
      </c>
      <c r="D440" s="3">
        <v>80.34</v>
      </c>
      <c r="E440" s="11">
        <v>7</v>
      </c>
      <c r="F440" s="9">
        <v>8</v>
      </c>
      <c r="G440" s="2">
        <v>2</v>
      </c>
      <c r="H44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40" s="19">
        <f>Clients[[#This Row],[Facture_Mensuelle]]*Clients[[#This Row],[Remise]]</f>
        <v>36.153000000000006</v>
      </c>
    </row>
    <row r="441" spans="1:9" x14ac:dyDescent="0.25">
      <c r="A441" s="2" t="s">
        <v>474</v>
      </c>
      <c r="B441" s="2" t="s">
        <v>105</v>
      </c>
      <c r="C441" s="2" t="s">
        <v>7</v>
      </c>
      <c r="D441" s="3">
        <v>60.62</v>
      </c>
      <c r="E441" s="11">
        <v>5</v>
      </c>
      <c r="F441" s="9">
        <v>7</v>
      </c>
      <c r="G441" s="2">
        <v>5</v>
      </c>
      <c r="H44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41" s="19">
        <f>Clients[[#This Row],[Facture_Mensuelle]]*Clients[[#This Row],[Remise]]</f>
        <v>27.279</v>
      </c>
    </row>
    <row r="442" spans="1:9" x14ac:dyDescent="0.25">
      <c r="A442" s="2" t="s">
        <v>475</v>
      </c>
      <c r="B442" s="2" t="s">
        <v>57</v>
      </c>
      <c r="C442" s="2" t="s">
        <v>19</v>
      </c>
      <c r="D442" s="3">
        <v>51.68</v>
      </c>
      <c r="E442" s="11">
        <v>0</v>
      </c>
      <c r="F442" s="9">
        <v>0</v>
      </c>
      <c r="G442" s="2">
        <v>3</v>
      </c>
      <c r="H44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42" s="19">
        <f>Clients[[#This Row],[Facture_Mensuelle]]*Clients[[#This Row],[Remise]]</f>
        <v>23.256</v>
      </c>
    </row>
    <row r="443" spans="1:9" x14ac:dyDescent="0.25">
      <c r="A443" s="2" t="s">
        <v>476</v>
      </c>
      <c r="B443" s="2" t="s">
        <v>72</v>
      </c>
      <c r="C443" s="2" t="s">
        <v>13</v>
      </c>
      <c r="D443" s="3">
        <v>34.6</v>
      </c>
      <c r="E443" s="11">
        <v>4</v>
      </c>
      <c r="F443" s="9">
        <v>1</v>
      </c>
      <c r="G443" s="2">
        <v>5</v>
      </c>
      <c r="H44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43" s="19">
        <f>Clients[[#This Row],[Facture_Mensuelle]]*Clients[[#This Row],[Remise]]</f>
        <v>0</v>
      </c>
    </row>
    <row r="444" spans="1:9" x14ac:dyDescent="0.25">
      <c r="A444" s="2" t="s">
        <v>477</v>
      </c>
      <c r="B444" s="2" t="s">
        <v>32</v>
      </c>
      <c r="C444" s="2" t="s">
        <v>10</v>
      </c>
      <c r="D444" s="3">
        <v>95.6</v>
      </c>
      <c r="E444" s="11">
        <v>5</v>
      </c>
      <c r="F444" s="9">
        <v>2</v>
      </c>
      <c r="G444" s="2">
        <v>4</v>
      </c>
      <c r="H44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44" s="19">
        <f>Clients[[#This Row],[Facture_Mensuelle]]*Clients[[#This Row],[Remise]]</f>
        <v>9.56</v>
      </c>
    </row>
    <row r="445" spans="1:9" x14ac:dyDescent="0.25">
      <c r="A445" s="2" t="s">
        <v>478</v>
      </c>
      <c r="B445" s="2" t="s">
        <v>15</v>
      </c>
      <c r="C445" s="2" t="s">
        <v>10</v>
      </c>
      <c r="D445" s="3">
        <v>74.319999999999993</v>
      </c>
      <c r="E445" s="11">
        <v>8</v>
      </c>
      <c r="F445" s="9">
        <v>6</v>
      </c>
      <c r="G445" s="2">
        <v>1</v>
      </c>
      <c r="H44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45" s="19">
        <f>Clients[[#This Row],[Facture_Mensuelle]]*Clients[[#This Row],[Remise]]</f>
        <v>33.443999999999996</v>
      </c>
    </row>
    <row r="446" spans="1:9" x14ac:dyDescent="0.25">
      <c r="A446" s="2" t="s">
        <v>479</v>
      </c>
      <c r="B446" s="2" t="s">
        <v>62</v>
      </c>
      <c r="C446" s="2" t="s">
        <v>19</v>
      </c>
      <c r="D446" s="3">
        <v>56.67</v>
      </c>
      <c r="E446" s="11">
        <v>3</v>
      </c>
      <c r="F446" s="9">
        <v>5</v>
      </c>
      <c r="G446" s="2">
        <v>2</v>
      </c>
      <c r="H44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46" s="19">
        <f>Clients[[#This Row],[Facture_Mensuelle]]*Clients[[#This Row],[Remise]]</f>
        <v>25.5015</v>
      </c>
    </row>
    <row r="447" spans="1:9" x14ac:dyDescent="0.25">
      <c r="A447" s="2" t="s">
        <v>480</v>
      </c>
      <c r="B447" s="2" t="s">
        <v>44</v>
      </c>
      <c r="C447" s="2" t="s">
        <v>10</v>
      </c>
      <c r="D447" s="3">
        <v>24.95</v>
      </c>
      <c r="E447" s="11">
        <v>1</v>
      </c>
      <c r="F447" s="9">
        <v>3</v>
      </c>
      <c r="G447" s="2">
        <v>4</v>
      </c>
      <c r="H44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47" s="19">
        <f>Clients[[#This Row],[Facture_Mensuelle]]*Clients[[#This Row],[Remise]]</f>
        <v>2.4950000000000001</v>
      </c>
    </row>
    <row r="448" spans="1:9" x14ac:dyDescent="0.25">
      <c r="A448" s="2" t="s">
        <v>481</v>
      </c>
      <c r="B448" s="2" t="s">
        <v>22</v>
      </c>
      <c r="C448" s="2" t="s">
        <v>10</v>
      </c>
      <c r="D448" s="3">
        <v>38.36</v>
      </c>
      <c r="E448" s="11">
        <v>7</v>
      </c>
      <c r="F448" s="9">
        <v>4</v>
      </c>
      <c r="G448" s="2">
        <v>2</v>
      </c>
      <c r="H44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48" s="19">
        <f>Clients[[#This Row],[Facture_Mensuelle]]*Clients[[#This Row],[Remise]]</f>
        <v>17.262</v>
      </c>
    </row>
    <row r="449" spans="1:9" x14ac:dyDescent="0.25">
      <c r="A449" s="2" t="s">
        <v>482</v>
      </c>
      <c r="B449" s="2" t="s">
        <v>22</v>
      </c>
      <c r="C449" s="2" t="s">
        <v>19</v>
      </c>
      <c r="D449" s="3">
        <v>40.94</v>
      </c>
      <c r="E449" s="11">
        <v>7</v>
      </c>
      <c r="F449" s="9">
        <v>4</v>
      </c>
      <c r="G449" s="2">
        <v>2</v>
      </c>
      <c r="H44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49" s="19">
        <f>Clients[[#This Row],[Facture_Mensuelle]]*Clients[[#This Row],[Remise]]</f>
        <v>18.422999999999998</v>
      </c>
    </row>
    <row r="450" spans="1:9" x14ac:dyDescent="0.25">
      <c r="A450" s="2" t="s">
        <v>483</v>
      </c>
      <c r="B450" s="2" t="s">
        <v>30</v>
      </c>
      <c r="C450" s="2" t="s">
        <v>19</v>
      </c>
      <c r="D450" s="3">
        <v>84.32</v>
      </c>
      <c r="E450" s="11">
        <v>2</v>
      </c>
      <c r="F450" s="9">
        <v>6</v>
      </c>
      <c r="G450" s="2">
        <v>3</v>
      </c>
      <c r="H45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50" s="19">
        <f>Clients[[#This Row],[Facture_Mensuelle]]*Clients[[#This Row],[Remise]]</f>
        <v>37.943999999999996</v>
      </c>
    </row>
    <row r="451" spans="1:9" x14ac:dyDescent="0.25">
      <c r="A451" s="2" t="s">
        <v>484</v>
      </c>
      <c r="B451" s="2" t="s">
        <v>24</v>
      </c>
      <c r="C451" s="2" t="s">
        <v>19</v>
      </c>
      <c r="D451" s="3">
        <v>71.52</v>
      </c>
      <c r="E451" s="11">
        <v>4</v>
      </c>
      <c r="F451" s="9">
        <v>8</v>
      </c>
      <c r="G451" s="2">
        <v>5</v>
      </c>
      <c r="H45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51" s="19">
        <f>Clients[[#This Row],[Facture_Mensuelle]]*Clients[[#This Row],[Remise]]</f>
        <v>32.183999999999997</v>
      </c>
    </row>
    <row r="452" spans="1:9" x14ac:dyDescent="0.25">
      <c r="A452" s="2" t="s">
        <v>485</v>
      </c>
      <c r="B452" s="2" t="s">
        <v>105</v>
      </c>
      <c r="C452" s="2" t="s">
        <v>13</v>
      </c>
      <c r="D452" s="3">
        <v>45.86</v>
      </c>
      <c r="E452" s="11">
        <v>6</v>
      </c>
      <c r="F452" s="9">
        <v>4</v>
      </c>
      <c r="G452" s="2">
        <v>0</v>
      </c>
      <c r="H45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52" s="19">
        <f>Clients[[#This Row],[Facture_Mensuelle]]*Clients[[#This Row],[Remise]]</f>
        <v>20.637</v>
      </c>
    </row>
    <row r="453" spans="1:9" x14ac:dyDescent="0.25">
      <c r="A453" s="2" t="s">
        <v>486</v>
      </c>
      <c r="B453" s="2" t="s">
        <v>24</v>
      </c>
      <c r="C453" s="2" t="s">
        <v>10</v>
      </c>
      <c r="D453" s="3">
        <v>39.21</v>
      </c>
      <c r="E453" s="11">
        <v>3</v>
      </c>
      <c r="F453" s="9">
        <v>5</v>
      </c>
      <c r="G453" s="2">
        <v>1</v>
      </c>
      <c r="H45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53" s="19">
        <f>Clients[[#This Row],[Facture_Mensuelle]]*Clients[[#This Row],[Remise]]</f>
        <v>17.644500000000001</v>
      </c>
    </row>
    <row r="454" spans="1:9" x14ac:dyDescent="0.25">
      <c r="A454" s="2" t="s">
        <v>487</v>
      </c>
      <c r="B454" s="2" t="s">
        <v>9</v>
      </c>
      <c r="C454" s="2" t="s">
        <v>13</v>
      </c>
      <c r="D454" s="3">
        <v>52.03</v>
      </c>
      <c r="E454" s="11">
        <v>9</v>
      </c>
      <c r="F454" s="9">
        <v>5</v>
      </c>
      <c r="G454" s="2">
        <v>0</v>
      </c>
      <c r="H45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54" s="19">
        <f>Clients[[#This Row],[Facture_Mensuelle]]*Clients[[#This Row],[Remise]]</f>
        <v>23.413500000000003</v>
      </c>
    </row>
    <row r="455" spans="1:9" x14ac:dyDescent="0.25">
      <c r="A455" s="2" t="s">
        <v>488</v>
      </c>
      <c r="B455" s="2" t="s">
        <v>38</v>
      </c>
      <c r="C455" s="2" t="s">
        <v>7</v>
      </c>
      <c r="D455" s="3">
        <v>76.64</v>
      </c>
      <c r="E455" s="11">
        <v>7</v>
      </c>
      <c r="F455" s="9">
        <v>1</v>
      </c>
      <c r="G455" s="2">
        <v>3</v>
      </c>
      <c r="H45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55" s="19">
        <f>Clients[[#This Row],[Facture_Mensuelle]]*Clients[[#This Row],[Remise]]</f>
        <v>0</v>
      </c>
    </row>
    <row r="456" spans="1:9" x14ac:dyDescent="0.25">
      <c r="A456" s="2" t="s">
        <v>489</v>
      </c>
      <c r="B456" s="2" t="s">
        <v>40</v>
      </c>
      <c r="C456" s="2" t="s">
        <v>19</v>
      </c>
      <c r="D456" s="3">
        <v>21.06</v>
      </c>
      <c r="E456" s="11">
        <v>6</v>
      </c>
      <c r="F456" s="9">
        <v>3</v>
      </c>
      <c r="G456" s="2">
        <v>3</v>
      </c>
      <c r="H45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56" s="19">
        <f>Clients[[#This Row],[Facture_Mensuelle]]*Clients[[#This Row],[Remise]]</f>
        <v>0</v>
      </c>
    </row>
    <row r="457" spans="1:9" x14ac:dyDescent="0.25">
      <c r="A457" s="2" t="s">
        <v>490</v>
      </c>
      <c r="B457" s="2" t="s">
        <v>30</v>
      </c>
      <c r="C457" s="2" t="s">
        <v>13</v>
      </c>
      <c r="D457" s="3">
        <v>22.97</v>
      </c>
      <c r="E457" s="11">
        <v>3</v>
      </c>
      <c r="F457" s="9">
        <v>3</v>
      </c>
      <c r="G457" s="2">
        <v>3</v>
      </c>
      <c r="H45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57" s="19">
        <f>Clients[[#This Row],[Facture_Mensuelle]]*Clients[[#This Row],[Remise]]</f>
        <v>0</v>
      </c>
    </row>
    <row r="458" spans="1:9" x14ac:dyDescent="0.25">
      <c r="A458" s="2" t="s">
        <v>491</v>
      </c>
      <c r="B458" s="2" t="s">
        <v>12</v>
      </c>
      <c r="C458" s="2" t="s">
        <v>10</v>
      </c>
      <c r="D458" s="3">
        <v>10.46</v>
      </c>
      <c r="E458" s="11">
        <v>10</v>
      </c>
      <c r="F458" s="9">
        <v>8</v>
      </c>
      <c r="G458" s="2">
        <v>5</v>
      </c>
      <c r="H45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58" s="19">
        <f>Clients[[#This Row],[Facture_Mensuelle]]*Clients[[#This Row],[Remise]]</f>
        <v>4.7070000000000007</v>
      </c>
    </row>
    <row r="459" spans="1:9" x14ac:dyDescent="0.25">
      <c r="A459" s="2" t="s">
        <v>492</v>
      </c>
      <c r="B459" s="2" t="s">
        <v>30</v>
      </c>
      <c r="C459" s="2" t="s">
        <v>7</v>
      </c>
      <c r="D459" s="3">
        <v>59.65</v>
      </c>
      <c r="E459" s="11">
        <v>5</v>
      </c>
      <c r="F459" s="9">
        <v>6</v>
      </c>
      <c r="G459" s="2">
        <v>0</v>
      </c>
      <c r="H45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59" s="19">
        <f>Clients[[#This Row],[Facture_Mensuelle]]*Clients[[#This Row],[Remise]]</f>
        <v>26.842500000000001</v>
      </c>
    </row>
    <row r="460" spans="1:9" x14ac:dyDescent="0.25">
      <c r="A460" s="2" t="s">
        <v>493</v>
      </c>
      <c r="B460" s="2" t="s">
        <v>156</v>
      </c>
      <c r="C460" s="2" t="s">
        <v>13</v>
      </c>
      <c r="D460" s="3">
        <v>18.48</v>
      </c>
      <c r="E460" s="11">
        <v>0</v>
      </c>
      <c r="F460" s="9">
        <v>1</v>
      </c>
      <c r="G460" s="2">
        <v>2</v>
      </c>
      <c r="H46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60" s="19">
        <f>Clients[[#This Row],[Facture_Mensuelle]]*Clients[[#This Row],[Remise]]</f>
        <v>0</v>
      </c>
    </row>
    <row r="461" spans="1:9" x14ac:dyDescent="0.25">
      <c r="A461" s="2" t="s">
        <v>494</v>
      </c>
      <c r="B461" s="2" t="s">
        <v>32</v>
      </c>
      <c r="C461" s="2" t="s">
        <v>13</v>
      </c>
      <c r="D461" s="3">
        <v>49.94</v>
      </c>
      <c r="E461" s="11">
        <v>5</v>
      </c>
      <c r="F461" s="9">
        <v>4</v>
      </c>
      <c r="G461" s="2">
        <v>1</v>
      </c>
      <c r="H46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61" s="19">
        <f>Clients[[#This Row],[Facture_Mensuelle]]*Clients[[#This Row],[Remise]]</f>
        <v>22.472999999999999</v>
      </c>
    </row>
    <row r="462" spans="1:9" x14ac:dyDescent="0.25">
      <c r="A462" s="2" t="s">
        <v>495</v>
      </c>
      <c r="B462" s="2" t="s">
        <v>48</v>
      </c>
      <c r="C462" s="2" t="s">
        <v>10</v>
      </c>
      <c r="D462" s="3">
        <v>64.97</v>
      </c>
      <c r="E462" s="11">
        <v>2</v>
      </c>
      <c r="F462" s="9">
        <v>5</v>
      </c>
      <c r="G462" s="2">
        <v>1</v>
      </c>
      <c r="H46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62" s="19">
        <f>Clients[[#This Row],[Facture_Mensuelle]]*Clients[[#This Row],[Remise]]</f>
        <v>29.236499999999999</v>
      </c>
    </row>
    <row r="463" spans="1:9" x14ac:dyDescent="0.25">
      <c r="A463" s="2" t="s">
        <v>496</v>
      </c>
      <c r="B463" s="2" t="s">
        <v>32</v>
      </c>
      <c r="C463" s="2" t="s">
        <v>19</v>
      </c>
      <c r="D463" s="3">
        <v>90.71</v>
      </c>
      <c r="E463" s="11">
        <v>0</v>
      </c>
      <c r="F463" s="9">
        <v>7</v>
      </c>
      <c r="G463" s="2">
        <v>1</v>
      </c>
      <c r="H46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63" s="19">
        <f>Clients[[#This Row],[Facture_Mensuelle]]*Clients[[#This Row],[Remise]]</f>
        <v>40.819499999999998</v>
      </c>
    </row>
    <row r="464" spans="1:9" x14ac:dyDescent="0.25">
      <c r="A464" s="2" t="s">
        <v>497</v>
      </c>
      <c r="B464" s="2" t="s">
        <v>65</v>
      </c>
      <c r="C464" s="2" t="s">
        <v>7</v>
      </c>
      <c r="D464" s="3">
        <v>50.15</v>
      </c>
      <c r="E464" s="11">
        <v>2</v>
      </c>
      <c r="F464" s="9">
        <v>2</v>
      </c>
      <c r="G464" s="2">
        <v>4</v>
      </c>
      <c r="H46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64" s="19">
        <f>Clients[[#This Row],[Facture_Mensuelle]]*Clients[[#This Row],[Remise]]</f>
        <v>0</v>
      </c>
    </row>
    <row r="465" spans="1:9" x14ac:dyDescent="0.25">
      <c r="A465" s="2" t="s">
        <v>498</v>
      </c>
      <c r="B465" s="2" t="s">
        <v>30</v>
      </c>
      <c r="C465" s="2" t="s">
        <v>13</v>
      </c>
      <c r="D465" s="3">
        <v>62.65</v>
      </c>
      <c r="E465" s="11">
        <v>5</v>
      </c>
      <c r="F465" s="9">
        <v>3</v>
      </c>
      <c r="G465" s="2">
        <v>0</v>
      </c>
      <c r="H46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65" s="19">
        <f>Clients[[#This Row],[Facture_Mensuelle]]*Clients[[#This Row],[Remise]]</f>
        <v>0</v>
      </c>
    </row>
    <row r="466" spans="1:9" x14ac:dyDescent="0.25">
      <c r="A466" s="2" t="s">
        <v>499</v>
      </c>
      <c r="B466" s="2" t="s">
        <v>9</v>
      </c>
      <c r="C466" s="2" t="s">
        <v>13</v>
      </c>
      <c r="D466" s="3">
        <v>95.17</v>
      </c>
      <c r="E466" s="11">
        <v>10</v>
      </c>
      <c r="F466" s="9">
        <v>7</v>
      </c>
      <c r="G466" s="2">
        <v>1</v>
      </c>
      <c r="H46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66" s="19">
        <f>Clients[[#This Row],[Facture_Mensuelle]]*Clients[[#This Row],[Remise]]</f>
        <v>42.826500000000003</v>
      </c>
    </row>
    <row r="467" spans="1:9" x14ac:dyDescent="0.25">
      <c r="A467" s="2" t="s">
        <v>500</v>
      </c>
      <c r="B467" s="2" t="s">
        <v>38</v>
      </c>
      <c r="C467" s="2" t="s">
        <v>19</v>
      </c>
      <c r="D467" s="3">
        <v>12.09</v>
      </c>
      <c r="E467" s="11">
        <v>6</v>
      </c>
      <c r="F467" s="9">
        <v>7</v>
      </c>
      <c r="G467" s="2">
        <v>3</v>
      </c>
      <c r="H46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67" s="19">
        <f>Clients[[#This Row],[Facture_Mensuelle]]*Clients[[#This Row],[Remise]]</f>
        <v>5.4405000000000001</v>
      </c>
    </row>
    <row r="468" spans="1:9" x14ac:dyDescent="0.25">
      <c r="A468" s="2" t="s">
        <v>501</v>
      </c>
      <c r="B468" s="2" t="s">
        <v>72</v>
      </c>
      <c r="C468" s="2" t="s">
        <v>13</v>
      </c>
      <c r="D468" s="3">
        <v>11.41</v>
      </c>
      <c r="E468" s="11">
        <v>7</v>
      </c>
      <c r="F468" s="9">
        <v>2</v>
      </c>
      <c r="G468" s="2">
        <v>0</v>
      </c>
      <c r="H46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68" s="19">
        <f>Clients[[#This Row],[Facture_Mensuelle]]*Clients[[#This Row],[Remise]]</f>
        <v>0</v>
      </c>
    </row>
    <row r="469" spans="1:9" x14ac:dyDescent="0.25">
      <c r="A469" s="2" t="s">
        <v>502</v>
      </c>
      <c r="B469" s="2" t="s">
        <v>18</v>
      </c>
      <c r="C469" s="2" t="s">
        <v>10</v>
      </c>
      <c r="D469" s="3">
        <v>19.440000000000001</v>
      </c>
      <c r="E469" s="11">
        <v>6</v>
      </c>
      <c r="F469" s="9">
        <v>8</v>
      </c>
      <c r="G469" s="2">
        <v>0</v>
      </c>
      <c r="H46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69" s="19">
        <f>Clients[[#This Row],[Facture_Mensuelle]]*Clients[[#This Row],[Remise]]</f>
        <v>8.7480000000000011</v>
      </c>
    </row>
    <row r="470" spans="1:9" x14ac:dyDescent="0.25">
      <c r="A470" s="2" t="s">
        <v>503</v>
      </c>
      <c r="B470" s="2" t="s">
        <v>24</v>
      </c>
      <c r="C470" s="2" t="s">
        <v>13</v>
      </c>
      <c r="D470" s="3">
        <v>30.92</v>
      </c>
      <c r="E470" s="11">
        <v>8</v>
      </c>
      <c r="F470" s="9">
        <v>2</v>
      </c>
      <c r="G470" s="2">
        <v>1</v>
      </c>
      <c r="H47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70" s="19">
        <f>Clients[[#This Row],[Facture_Mensuelle]]*Clients[[#This Row],[Remise]]</f>
        <v>0</v>
      </c>
    </row>
    <row r="471" spans="1:9" x14ac:dyDescent="0.25">
      <c r="A471" s="2" t="s">
        <v>504</v>
      </c>
      <c r="B471" s="2" t="s">
        <v>42</v>
      </c>
      <c r="C471" s="2" t="s">
        <v>13</v>
      </c>
      <c r="D471" s="3">
        <v>53.39</v>
      </c>
      <c r="E471" s="11">
        <v>7</v>
      </c>
      <c r="F471" s="9">
        <v>0</v>
      </c>
      <c r="G471" s="2">
        <v>3</v>
      </c>
      <c r="H47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71" s="19">
        <f>Clients[[#This Row],[Facture_Mensuelle]]*Clients[[#This Row],[Remise]]</f>
        <v>0</v>
      </c>
    </row>
    <row r="472" spans="1:9" x14ac:dyDescent="0.25">
      <c r="A472" s="2" t="s">
        <v>505</v>
      </c>
      <c r="B472" s="2" t="s">
        <v>65</v>
      </c>
      <c r="C472" s="2" t="s">
        <v>19</v>
      </c>
      <c r="D472" s="3">
        <v>80.48</v>
      </c>
      <c r="E472" s="11">
        <v>4</v>
      </c>
      <c r="F472" s="9">
        <v>6</v>
      </c>
      <c r="G472" s="2">
        <v>3</v>
      </c>
      <c r="H47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72" s="19">
        <f>Clients[[#This Row],[Facture_Mensuelle]]*Clients[[#This Row],[Remise]]</f>
        <v>36.216000000000001</v>
      </c>
    </row>
    <row r="473" spans="1:9" x14ac:dyDescent="0.25">
      <c r="A473" s="2" t="s">
        <v>506</v>
      </c>
      <c r="B473" s="2" t="s">
        <v>42</v>
      </c>
      <c r="C473" s="2" t="s">
        <v>7</v>
      </c>
      <c r="D473" s="3">
        <v>85.74</v>
      </c>
      <c r="E473" s="11">
        <v>6</v>
      </c>
      <c r="F473" s="9">
        <v>5</v>
      </c>
      <c r="G473" s="2">
        <v>2</v>
      </c>
      <c r="H47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73" s="19">
        <f>Clients[[#This Row],[Facture_Mensuelle]]*Clients[[#This Row],[Remise]]</f>
        <v>38.582999999999998</v>
      </c>
    </row>
    <row r="474" spans="1:9" x14ac:dyDescent="0.25">
      <c r="A474" s="2" t="s">
        <v>507</v>
      </c>
      <c r="B474" s="2" t="s">
        <v>72</v>
      </c>
      <c r="C474" s="2" t="s">
        <v>19</v>
      </c>
      <c r="D474" s="3">
        <v>60.35</v>
      </c>
      <c r="E474" s="11">
        <v>3</v>
      </c>
      <c r="F474" s="9">
        <v>7</v>
      </c>
      <c r="G474" s="2">
        <v>1</v>
      </c>
      <c r="H47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74" s="19">
        <f>Clients[[#This Row],[Facture_Mensuelle]]*Clients[[#This Row],[Remise]]</f>
        <v>27.157500000000002</v>
      </c>
    </row>
    <row r="475" spans="1:9" x14ac:dyDescent="0.25">
      <c r="A475" s="2" t="s">
        <v>508</v>
      </c>
      <c r="B475" s="2" t="s">
        <v>18</v>
      </c>
      <c r="C475" s="2" t="s">
        <v>7</v>
      </c>
      <c r="D475" s="3">
        <v>58.67</v>
      </c>
      <c r="E475" s="11">
        <v>4</v>
      </c>
      <c r="F475" s="9">
        <v>6</v>
      </c>
      <c r="G475" s="2">
        <v>0</v>
      </c>
      <c r="H47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75" s="19">
        <f>Clients[[#This Row],[Facture_Mensuelle]]*Clients[[#This Row],[Remise]]</f>
        <v>26.401500000000002</v>
      </c>
    </row>
    <row r="476" spans="1:9" x14ac:dyDescent="0.25">
      <c r="A476" s="2" t="s">
        <v>509</v>
      </c>
      <c r="B476" s="2" t="s">
        <v>156</v>
      </c>
      <c r="C476" s="2" t="s">
        <v>10</v>
      </c>
      <c r="D476" s="3">
        <v>42.51</v>
      </c>
      <c r="E476" s="11">
        <v>10</v>
      </c>
      <c r="F476" s="9">
        <v>3</v>
      </c>
      <c r="G476" s="2">
        <v>4</v>
      </c>
      <c r="H47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76" s="19">
        <f>Clients[[#This Row],[Facture_Mensuelle]]*Clients[[#This Row],[Remise]]</f>
        <v>4.2510000000000003</v>
      </c>
    </row>
    <row r="477" spans="1:9" x14ac:dyDescent="0.25">
      <c r="A477" s="2" t="s">
        <v>510</v>
      </c>
      <c r="B477" s="2" t="s">
        <v>32</v>
      </c>
      <c r="C477" s="2" t="s">
        <v>19</v>
      </c>
      <c r="D477" s="3">
        <v>62.88</v>
      </c>
      <c r="E477" s="11">
        <v>10</v>
      </c>
      <c r="F477" s="9">
        <v>5</v>
      </c>
      <c r="G477" s="2">
        <v>4</v>
      </c>
      <c r="H47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77" s="19">
        <f>Clients[[#This Row],[Facture_Mensuelle]]*Clients[[#This Row],[Remise]]</f>
        <v>28.296000000000003</v>
      </c>
    </row>
    <row r="478" spans="1:9" x14ac:dyDescent="0.25">
      <c r="A478" s="2" t="s">
        <v>511</v>
      </c>
      <c r="B478" s="2" t="s">
        <v>34</v>
      </c>
      <c r="C478" s="2" t="s">
        <v>13</v>
      </c>
      <c r="D478" s="3">
        <v>18.72</v>
      </c>
      <c r="E478" s="11">
        <v>9</v>
      </c>
      <c r="F478" s="9">
        <v>4</v>
      </c>
      <c r="G478" s="2">
        <v>4</v>
      </c>
      <c r="H47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78" s="19">
        <f>Clients[[#This Row],[Facture_Mensuelle]]*Clients[[#This Row],[Remise]]</f>
        <v>8.4239999999999995</v>
      </c>
    </row>
    <row r="479" spans="1:9" x14ac:dyDescent="0.25">
      <c r="A479" s="2" t="s">
        <v>512</v>
      </c>
      <c r="B479" s="2" t="s">
        <v>18</v>
      </c>
      <c r="C479" s="2" t="s">
        <v>7</v>
      </c>
      <c r="D479" s="3">
        <v>63.83</v>
      </c>
      <c r="E479" s="11">
        <v>5</v>
      </c>
      <c r="F479" s="9">
        <v>5</v>
      </c>
      <c r="G479" s="2">
        <v>2</v>
      </c>
      <c r="H47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79" s="19">
        <f>Clients[[#This Row],[Facture_Mensuelle]]*Clients[[#This Row],[Remise]]</f>
        <v>28.723500000000001</v>
      </c>
    </row>
    <row r="480" spans="1:9" x14ac:dyDescent="0.25">
      <c r="A480" s="2" t="s">
        <v>513</v>
      </c>
      <c r="B480" s="2" t="s">
        <v>30</v>
      </c>
      <c r="C480" s="2" t="s">
        <v>19</v>
      </c>
      <c r="D480" s="3">
        <v>20.96</v>
      </c>
      <c r="E480" s="11">
        <v>0</v>
      </c>
      <c r="F480" s="9">
        <v>7</v>
      </c>
      <c r="G480" s="2">
        <v>5</v>
      </c>
      <c r="H48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80" s="19">
        <f>Clients[[#This Row],[Facture_Mensuelle]]*Clients[[#This Row],[Remise]]</f>
        <v>9.4320000000000004</v>
      </c>
    </row>
    <row r="481" spans="1:9" x14ac:dyDescent="0.25">
      <c r="A481" s="2" t="s">
        <v>514</v>
      </c>
      <c r="B481" s="2" t="s">
        <v>48</v>
      </c>
      <c r="C481" s="2" t="s">
        <v>7</v>
      </c>
      <c r="D481" s="3">
        <v>21.31</v>
      </c>
      <c r="E481" s="11">
        <v>9</v>
      </c>
      <c r="F481" s="9">
        <v>2</v>
      </c>
      <c r="G481" s="2">
        <v>5</v>
      </c>
      <c r="H48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81" s="19">
        <f>Clients[[#This Row],[Facture_Mensuelle]]*Clients[[#This Row],[Remise]]</f>
        <v>0</v>
      </c>
    </row>
    <row r="482" spans="1:9" x14ac:dyDescent="0.25">
      <c r="A482" s="2" t="s">
        <v>515</v>
      </c>
      <c r="B482" s="2" t="s">
        <v>42</v>
      </c>
      <c r="C482" s="2" t="s">
        <v>13</v>
      </c>
      <c r="D482" s="3">
        <v>37.82</v>
      </c>
      <c r="E482" s="11">
        <v>6</v>
      </c>
      <c r="F482" s="9">
        <v>6</v>
      </c>
      <c r="G482" s="2">
        <v>5</v>
      </c>
      <c r="H48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82" s="19">
        <f>Clients[[#This Row],[Facture_Mensuelle]]*Clients[[#This Row],[Remise]]</f>
        <v>17.019000000000002</v>
      </c>
    </row>
    <row r="483" spans="1:9" x14ac:dyDescent="0.25">
      <c r="A483" s="2" t="s">
        <v>516</v>
      </c>
      <c r="B483" s="2" t="s">
        <v>44</v>
      </c>
      <c r="C483" s="2" t="s">
        <v>10</v>
      </c>
      <c r="D483" s="3">
        <v>43.99</v>
      </c>
      <c r="E483" s="11">
        <v>1</v>
      </c>
      <c r="F483" s="9">
        <v>2</v>
      </c>
      <c r="G483" s="2">
        <v>1</v>
      </c>
      <c r="H48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83" s="19">
        <f>Clients[[#This Row],[Facture_Mensuelle]]*Clients[[#This Row],[Remise]]</f>
        <v>4.399</v>
      </c>
    </row>
    <row r="484" spans="1:9" x14ac:dyDescent="0.25">
      <c r="A484" s="2" t="s">
        <v>517</v>
      </c>
      <c r="B484" s="2" t="s">
        <v>62</v>
      </c>
      <c r="C484" s="2" t="s">
        <v>13</v>
      </c>
      <c r="D484" s="3">
        <v>58.74</v>
      </c>
      <c r="E484" s="11">
        <v>5</v>
      </c>
      <c r="F484" s="9">
        <v>6</v>
      </c>
      <c r="G484" s="2">
        <v>1</v>
      </c>
      <c r="H48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84" s="19">
        <f>Clients[[#This Row],[Facture_Mensuelle]]*Clients[[#This Row],[Remise]]</f>
        <v>26.433</v>
      </c>
    </row>
    <row r="485" spans="1:9" x14ac:dyDescent="0.25">
      <c r="A485" s="2" t="s">
        <v>518</v>
      </c>
      <c r="B485" s="2" t="s">
        <v>24</v>
      </c>
      <c r="C485" s="2" t="s">
        <v>19</v>
      </c>
      <c r="D485" s="3">
        <v>48.05</v>
      </c>
      <c r="E485" s="11">
        <v>7</v>
      </c>
      <c r="F485" s="9">
        <v>2</v>
      </c>
      <c r="G485" s="2">
        <v>4</v>
      </c>
      <c r="H48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85" s="19">
        <f>Clients[[#This Row],[Facture_Mensuelle]]*Clients[[#This Row],[Remise]]</f>
        <v>0</v>
      </c>
    </row>
    <row r="486" spans="1:9" x14ac:dyDescent="0.25">
      <c r="A486" s="2" t="s">
        <v>519</v>
      </c>
      <c r="B486" s="2" t="s">
        <v>38</v>
      </c>
      <c r="C486" s="2" t="s">
        <v>19</v>
      </c>
      <c r="D486" s="3">
        <v>19.760000000000002</v>
      </c>
      <c r="E486" s="11">
        <v>2</v>
      </c>
      <c r="F486" s="9">
        <v>4</v>
      </c>
      <c r="G486" s="2">
        <v>3</v>
      </c>
      <c r="H48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86" s="19">
        <f>Clients[[#This Row],[Facture_Mensuelle]]*Clients[[#This Row],[Remise]]</f>
        <v>8.8920000000000012</v>
      </c>
    </row>
    <row r="487" spans="1:9" x14ac:dyDescent="0.25">
      <c r="A487" s="2" t="s">
        <v>520</v>
      </c>
      <c r="B487" s="2" t="s">
        <v>12</v>
      </c>
      <c r="C487" s="2" t="s">
        <v>7</v>
      </c>
      <c r="D487" s="3">
        <v>49.02</v>
      </c>
      <c r="E487" s="11">
        <v>4</v>
      </c>
      <c r="F487" s="9">
        <v>7</v>
      </c>
      <c r="G487" s="2">
        <v>0</v>
      </c>
      <c r="H48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87" s="19">
        <f>Clients[[#This Row],[Facture_Mensuelle]]*Clients[[#This Row],[Remise]]</f>
        <v>22.059000000000001</v>
      </c>
    </row>
    <row r="488" spans="1:9" x14ac:dyDescent="0.25">
      <c r="A488" s="2" t="s">
        <v>521</v>
      </c>
      <c r="B488" s="2" t="s">
        <v>65</v>
      </c>
      <c r="C488" s="2" t="s">
        <v>19</v>
      </c>
      <c r="D488" s="3">
        <v>30.38</v>
      </c>
      <c r="E488" s="11">
        <v>10</v>
      </c>
      <c r="F488" s="9">
        <v>0</v>
      </c>
      <c r="G488" s="2">
        <v>1</v>
      </c>
      <c r="H48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88" s="19">
        <f>Clients[[#This Row],[Facture_Mensuelle]]*Clients[[#This Row],[Remise]]</f>
        <v>0</v>
      </c>
    </row>
    <row r="489" spans="1:9" x14ac:dyDescent="0.25">
      <c r="A489" s="2" t="s">
        <v>522</v>
      </c>
      <c r="B489" s="2" t="s">
        <v>24</v>
      </c>
      <c r="C489" s="2" t="s">
        <v>7</v>
      </c>
      <c r="D489" s="3">
        <v>16.16</v>
      </c>
      <c r="E489" s="11">
        <v>4</v>
      </c>
      <c r="F489" s="9">
        <v>2</v>
      </c>
      <c r="G489" s="2">
        <v>5</v>
      </c>
      <c r="H48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89" s="19">
        <f>Clients[[#This Row],[Facture_Mensuelle]]*Clients[[#This Row],[Remise]]</f>
        <v>0</v>
      </c>
    </row>
    <row r="490" spans="1:9" x14ac:dyDescent="0.25">
      <c r="A490" s="2" t="s">
        <v>523</v>
      </c>
      <c r="B490" s="2" t="s">
        <v>15</v>
      </c>
      <c r="C490" s="2" t="s">
        <v>19</v>
      </c>
      <c r="D490" s="3">
        <v>84.94</v>
      </c>
      <c r="E490" s="11">
        <v>7</v>
      </c>
      <c r="F490" s="9">
        <v>0</v>
      </c>
      <c r="G490" s="2">
        <v>4</v>
      </c>
      <c r="H49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90" s="19">
        <f>Clients[[#This Row],[Facture_Mensuelle]]*Clients[[#This Row],[Remise]]</f>
        <v>0</v>
      </c>
    </row>
    <row r="491" spans="1:9" x14ac:dyDescent="0.25">
      <c r="A491" s="2" t="s">
        <v>524</v>
      </c>
      <c r="B491" s="2" t="s">
        <v>18</v>
      </c>
      <c r="C491" s="2" t="s">
        <v>19</v>
      </c>
      <c r="D491" s="3">
        <v>30.12</v>
      </c>
      <c r="E491" s="11">
        <v>7</v>
      </c>
      <c r="F491" s="9">
        <v>5</v>
      </c>
      <c r="G491" s="2">
        <v>0</v>
      </c>
      <c r="H49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91" s="19">
        <f>Clients[[#This Row],[Facture_Mensuelle]]*Clients[[#This Row],[Remise]]</f>
        <v>13.554</v>
      </c>
    </row>
    <row r="492" spans="1:9" x14ac:dyDescent="0.25">
      <c r="A492" s="2" t="s">
        <v>525</v>
      </c>
      <c r="B492" s="2" t="s">
        <v>38</v>
      </c>
      <c r="C492" s="2" t="s">
        <v>13</v>
      </c>
      <c r="D492" s="3">
        <v>95.74</v>
      </c>
      <c r="E492" s="11">
        <v>8</v>
      </c>
      <c r="F492" s="9">
        <v>2</v>
      </c>
      <c r="G492" s="2">
        <v>5</v>
      </c>
      <c r="H49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92" s="19">
        <f>Clients[[#This Row],[Facture_Mensuelle]]*Clients[[#This Row],[Remise]]</f>
        <v>0</v>
      </c>
    </row>
    <row r="493" spans="1:9" x14ac:dyDescent="0.25">
      <c r="A493" s="2" t="s">
        <v>526</v>
      </c>
      <c r="B493" s="2" t="s">
        <v>156</v>
      </c>
      <c r="C493" s="2" t="s">
        <v>10</v>
      </c>
      <c r="D493" s="3">
        <v>95.71</v>
      </c>
      <c r="E493" s="11">
        <v>6</v>
      </c>
      <c r="F493" s="9">
        <v>3</v>
      </c>
      <c r="G493" s="2">
        <v>3</v>
      </c>
      <c r="H49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493" s="19">
        <f>Clients[[#This Row],[Facture_Mensuelle]]*Clients[[#This Row],[Remise]]</f>
        <v>9.5709999999999997</v>
      </c>
    </row>
    <row r="494" spans="1:9" x14ac:dyDescent="0.25">
      <c r="A494" s="2" t="s">
        <v>527</v>
      </c>
      <c r="B494" s="2" t="s">
        <v>34</v>
      </c>
      <c r="C494" s="2" t="s">
        <v>10</v>
      </c>
      <c r="D494" s="3">
        <v>63.67</v>
      </c>
      <c r="E494" s="11">
        <v>10</v>
      </c>
      <c r="F494" s="9">
        <v>4</v>
      </c>
      <c r="G494" s="2">
        <v>5</v>
      </c>
      <c r="H49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94" s="19">
        <f>Clients[[#This Row],[Facture_Mensuelle]]*Clients[[#This Row],[Remise]]</f>
        <v>28.651500000000002</v>
      </c>
    </row>
    <row r="495" spans="1:9" x14ac:dyDescent="0.25">
      <c r="A495" s="2" t="s">
        <v>528</v>
      </c>
      <c r="B495" s="2" t="s">
        <v>6</v>
      </c>
      <c r="C495" s="2" t="s">
        <v>7</v>
      </c>
      <c r="D495" s="3">
        <v>13.19</v>
      </c>
      <c r="E495" s="11">
        <v>3</v>
      </c>
      <c r="F495" s="9">
        <v>5</v>
      </c>
      <c r="G495" s="2">
        <v>4</v>
      </c>
      <c r="H49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95" s="19">
        <f>Clients[[#This Row],[Facture_Mensuelle]]*Clients[[#This Row],[Remise]]</f>
        <v>5.9355000000000002</v>
      </c>
    </row>
    <row r="496" spans="1:9" x14ac:dyDescent="0.25">
      <c r="A496" s="2" t="s">
        <v>529</v>
      </c>
      <c r="B496" s="2" t="s">
        <v>6</v>
      </c>
      <c r="C496" s="2" t="s">
        <v>13</v>
      </c>
      <c r="D496" s="3">
        <v>19.12</v>
      </c>
      <c r="E496" s="11">
        <v>8</v>
      </c>
      <c r="F496" s="9">
        <v>2</v>
      </c>
      <c r="G496" s="2">
        <v>0</v>
      </c>
      <c r="H49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496" s="19">
        <f>Clients[[#This Row],[Facture_Mensuelle]]*Clients[[#This Row],[Remise]]</f>
        <v>0</v>
      </c>
    </row>
    <row r="497" spans="1:9" x14ac:dyDescent="0.25">
      <c r="A497" s="2" t="s">
        <v>530</v>
      </c>
      <c r="B497" s="2" t="s">
        <v>15</v>
      </c>
      <c r="C497" s="2" t="s">
        <v>19</v>
      </c>
      <c r="D497" s="3">
        <v>22.6</v>
      </c>
      <c r="E497" s="11">
        <v>5</v>
      </c>
      <c r="F497" s="9">
        <v>7</v>
      </c>
      <c r="G497" s="2">
        <v>5</v>
      </c>
      <c r="H49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97" s="19">
        <f>Clients[[#This Row],[Facture_Mensuelle]]*Clients[[#This Row],[Remise]]</f>
        <v>10.170000000000002</v>
      </c>
    </row>
    <row r="498" spans="1:9" x14ac:dyDescent="0.25">
      <c r="A498" s="2" t="s">
        <v>531</v>
      </c>
      <c r="B498" s="2" t="s">
        <v>18</v>
      </c>
      <c r="C498" s="2" t="s">
        <v>13</v>
      </c>
      <c r="D498" s="3">
        <v>76.22</v>
      </c>
      <c r="E498" s="11">
        <v>10</v>
      </c>
      <c r="F498" s="9">
        <v>8</v>
      </c>
      <c r="G498" s="2">
        <v>2</v>
      </c>
      <c r="H49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98" s="19">
        <f>Clients[[#This Row],[Facture_Mensuelle]]*Clients[[#This Row],[Remise]]</f>
        <v>34.298999999999999</v>
      </c>
    </row>
    <row r="499" spans="1:9" x14ac:dyDescent="0.25">
      <c r="A499" s="2" t="s">
        <v>532</v>
      </c>
      <c r="B499" s="2" t="s">
        <v>44</v>
      </c>
      <c r="C499" s="2" t="s">
        <v>19</v>
      </c>
      <c r="D499" s="3">
        <v>19.260000000000002</v>
      </c>
      <c r="E499" s="11">
        <v>2</v>
      </c>
      <c r="F499" s="9">
        <v>5</v>
      </c>
      <c r="G499" s="2">
        <v>3</v>
      </c>
      <c r="H49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499" s="19">
        <f>Clients[[#This Row],[Facture_Mensuelle]]*Clients[[#This Row],[Remise]]</f>
        <v>8.6670000000000016</v>
      </c>
    </row>
    <row r="500" spans="1:9" x14ac:dyDescent="0.25">
      <c r="A500" s="2" t="s">
        <v>533</v>
      </c>
      <c r="B500" s="2" t="s">
        <v>6</v>
      </c>
      <c r="C500" s="2" t="s">
        <v>10</v>
      </c>
      <c r="D500" s="3">
        <v>26.3</v>
      </c>
      <c r="E500" s="11">
        <v>7</v>
      </c>
      <c r="F500" s="9">
        <v>1</v>
      </c>
      <c r="G500" s="2">
        <v>2</v>
      </c>
      <c r="H50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500" s="19">
        <f>Clients[[#This Row],[Facture_Mensuelle]]*Clients[[#This Row],[Remise]]</f>
        <v>2.6300000000000003</v>
      </c>
    </row>
    <row r="501" spans="1:9" x14ac:dyDescent="0.25">
      <c r="A501" s="2" t="s">
        <v>534</v>
      </c>
      <c r="B501" s="2" t="s">
        <v>69</v>
      </c>
      <c r="C501" s="2" t="s">
        <v>7</v>
      </c>
      <c r="D501" s="3">
        <v>77.14</v>
      </c>
      <c r="E501" s="11">
        <v>8</v>
      </c>
      <c r="F501" s="9">
        <v>0</v>
      </c>
      <c r="G501" s="2">
        <v>5</v>
      </c>
      <c r="H50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01" s="19">
        <f>Clients[[#This Row],[Facture_Mensuelle]]*Clients[[#This Row],[Remise]]</f>
        <v>0</v>
      </c>
    </row>
    <row r="502" spans="1:9" x14ac:dyDescent="0.25">
      <c r="A502" s="2" t="s">
        <v>535</v>
      </c>
      <c r="B502" s="2" t="s">
        <v>105</v>
      </c>
      <c r="C502" s="2" t="s">
        <v>13</v>
      </c>
      <c r="D502" s="3">
        <v>26.53</v>
      </c>
      <c r="E502" s="11">
        <v>10</v>
      </c>
      <c r="F502" s="9">
        <v>1</v>
      </c>
      <c r="G502" s="2">
        <v>1</v>
      </c>
      <c r="H50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02" s="19">
        <f>Clients[[#This Row],[Facture_Mensuelle]]*Clients[[#This Row],[Remise]]</f>
        <v>0</v>
      </c>
    </row>
    <row r="503" spans="1:9" x14ac:dyDescent="0.25">
      <c r="A503" s="2" t="s">
        <v>536</v>
      </c>
      <c r="B503" s="2" t="s">
        <v>15</v>
      </c>
      <c r="C503" s="2" t="s">
        <v>19</v>
      </c>
      <c r="D503" s="3">
        <v>42.2</v>
      </c>
      <c r="E503" s="11">
        <v>10</v>
      </c>
      <c r="F503" s="9">
        <v>4</v>
      </c>
      <c r="G503" s="2">
        <v>2</v>
      </c>
      <c r="H50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03" s="19">
        <f>Clients[[#This Row],[Facture_Mensuelle]]*Clients[[#This Row],[Remise]]</f>
        <v>18.990000000000002</v>
      </c>
    </row>
    <row r="504" spans="1:9" x14ac:dyDescent="0.25">
      <c r="A504" s="2" t="s">
        <v>537</v>
      </c>
      <c r="B504" s="2" t="s">
        <v>62</v>
      </c>
      <c r="C504" s="2" t="s">
        <v>7</v>
      </c>
      <c r="D504" s="3">
        <v>56.7</v>
      </c>
      <c r="E504" s="11">
        <v>5</v>
      </c>
      <c r="F504" s="9">
        <v>4</v>
      </c>
      <c r="G504" s="2">
        <v>0</v>
      </c>
      <c r="H50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04" s="19">
        <f>Clients[[#This Row],[Facture_Mensuelle]]*Clients[[#This Row],[Remise]]</f>
        <v>25.515000000000001</v>
      </c>
    </row>
    <row r="505" spans="1:9" x14ac:dyDescent="0.25">
      <c r="A505" s="2" t="s">
        <v>538</v>
      </c>
      <c r="B505" s="2" t="s">
        <v>9</v>
      </c>
      <c r="C505" s="2" t="s">
        <v>19</v>
      </c>
      <c r="D505" s="3">
        <v>59.15</v>
      </c>
      <c r="E505" s="11">
        <v>7</v>
      </c>
      <c r="F505" s="9">
        <v>4</v>
      </c>
      <c r="G505" s="2">
        <v>0</v>
      </c>
      <c r="H50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05" s="19">
        <f>Clients[[#This Row],[Facture_Mensuelle]]*Clients[[#This Row],[Remise]]</f>
        <v>26.6175</v>
      </c>
    </row>
    <row r="506" spans="1:9" x14ac:dyDescent="0.25">
      <c r="A506" s="2" t="s">
        <v>539</v>
      </c>
      <c r="B506" s="2" t="s">
        <v>69</v>
      </c>
      <c r="C506" s="2" t="s">
        <v>7</v>
      </c>
      <c r="D506" s="3">
        <v>67.489999999999995</v>
      </c>
      <c r="E506" s="11">
        <v>2</v>
      </c>
      <c r="F506" s="9">
        <v>2</v>
      </c>
      <c r="G506" s="2">
        <v>0</v>
      </c>
      <c r="H50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06" s="19">
        <f>Clients[[#This Row],[Facture_Mensuelle]]*Clients[[#This Row],[Remise]]</f>
        <v>0</v>
      </c>
    </row>
    <row r="507" spans="1:9" x14ac:dyDescent="0.25">
      <c r="A507" s="2" t="s">
        <v>540</v>
      </c>
      <c r="B507" s="2" t="s">
        <v>156</v>
      </c>
      <c r="C507" s="2" t="s">
        <v>13</v>
      </c>
      <c r="D507" s="3">
        <v>67.92</v>
      </c>
      <c r="E507" s="11">
        <v>3</v>
      </c>
      <c r="F507" s="9">
        <v>7</v>
      </c>
      <c r="G507" s="2">
        <v>3</v>
      </c>
      <c r="H50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07" s="19">
        <f>Clients[[#This Row],[Facture_Mensuelle]]*Clients[[#This Row],[Remise]]</f>
        <v>30.564</v>
      </c>
    </row>
    <row r="508" spans="1:9" x14ac:dyDescent="0.25">
      <c r="A508" s="2" t="s">
        <v>541</v>
      </c>
      <c r="B508" s="2" t="s">
        <v>97</v>
      </c>
      <c r="C508" s="2" t="s">
        <v>7</v>
      </c>
      <c r="D508" s="3">
        <v>24.91</v>
      </c>
      <c r="E508" s="11">
        <v>3</v>
      </c>
      <c r="F508" s="9">
        <v>0</v>
      </c>
      <c r="G508" s="2">
        <v>1</v>
      </c>
      <c r="H50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08" s="19">
        <f>Clients[[#This Row],[Facture_Mensuelle]]*Clients[[#This Row],[Remise]]</f>
        <v>0</v>
      </c>
    </row>
    <row r="509" spans="1:9" x14ac:dyDescent="0.25">
      <c r="A509" s="2" t="s">
        <v>542</v>
      </c>
      <c r="B509" s="2" t="s">
        <v>38</v>
      </c>
      <c r="C509" s="2" t="s">
        <v>19</v>
      </c>
      <c r="D509" s="3">
        <v>26.19</v>
      </c>
      <c r="E509" s="11">
        <v>9</v>
      </c>
      <c r="F509" s="9">
        <v>6</v>
      </c>
      <c r="G509" s="2">
        <v>4</v>
      </c>
      <c r="H50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09" s="19">
        <f>Clients[[#This Row],[Facture_Mensuelle]]*Clients[[#This Row],[Remise]]</f>
        <v>11.785500000000001</v>
      </c>
    </row>
    <row r="510" spans="1:9" x14ac:dyDescent="0.25">
      <c r="A510" s="2" t="s">
        <v>543</v>
      </c>
      <c r="B510" s="2" t="s">
        <v>28</v>
      </c>
      <c r="C510" s="2" t="s">
        <v>19</v>
      </c>
      <c r="D510" s="3">
        <v>58.54</v>
      </c>
      <c r="E510" s="11">
        <v>9</v>
      </c>
      <c r="F510" s="9">
        <v>5</v>
      </c>
      <c r="G510" s="2">
        <v>2</v>
      </c>
      <c r="H51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10" s="19">
        <f>Clients[[#This Row],[Facture_Mensuelle]]*Clients[[#This Row],[Remise]]</f>
        <v>26.343</v>
      </c>
    </row>
    <row r="511" spans="1:9" x14ac:dyDescent="0.25">
      <c r="A511" s="2" t="s">
        <v>544</v>
      </c>
      <c r="B511" s="2" t="s">
        <v>44</v>
      </c>
      <c r="C511" s="2" t="s">
        <v>13</v>
      </c>
      <c r="D511" s="3">
        <v>71.3</v>
      </c>
      <c r="E511" s="11">
        <v>9</v>
      </c>
      <c r="F511" s="9">
        <v>1</v>
      </c>
      <c r="G511" s="2">
        <v>0</v>
      </c>
      <c r="H51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11" s="19">
        <f>Clients[[#This Row],[Facture_Mensuelle]]*Clients[[#This Row],[Remise]]</f>
        <v>0</v>
      </c>
    </row>
    <row r="512" spans="1:9" x14ac:dyDescent="0.25">
      <c r="A512" s="2" t="s">
        <v>545</v>
      </c>
      <c r="B512" s="2" t="s">
        <v>24</v>
      </c>
      <c r="C512" s="2" t="s">
        <v>7</v>
      </c>
      <c r="D512" s="3">
        <v>72.27</v>
      </c>
      <c r="E512" s="11">
        <v>0</v>
      </c>
      <c r="F512" s="9">
        <v>0</v>
      </c>
      <c r="G512" s="2">
        <v>4</v>
      </c>
      <c r="H51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12" s="19">
        <f>Clients[[#This Row],[Facture_Mensuelle]]*Clients[[#This Row],[Remise]]</f>
        <v>0</v>
      </c>
    </row>
    <row r="513" spans="1:9" x14ac:dyDescent="0.25">
      <c r="A513" s="2" t="s">
        <v>546</v>
      </c>
      <c r="B513" s="2" t="s">
        <v>97</v>
      </c>
      <c r="C513" s="2" t="s">
        <v>10</v>
      </c>
      <c r="D513" s="3">
        <v>32.78</v>
      </c>
      <c r="E513" s="11">
        <v>7</v>
      </c>
      <c r="F513" s="9">
        <v>7</v>
      </c>
      <c r="G513" s="2">
        <v>1</v>
      </c>
      <c r="H51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13" s="19">
        <f>Clients[[#This Row],[Facture_Mensuelle]]*Clients[[#This Row],[Remise]]</f>
        <v>14.751000000000001</v>
      </c>
    </row>
    <row r="514" spans="1:9" x14ac:dyDescent="0.25">
      <c r="A514" s="2" t="s">
        <v>547</v>
      </c>
      <c r="B514" s="2" t="s">
        <v>9</v>
      </c>
      <c r="C514" s="2" t="s">
        <v>10</v>
      </c>
      <c r="D514" s="3">
        <v>26.26</v>
      </c>
      <c r="E514" s="11">
        <v>7</v>
      </c>
      <c r="F514" s="9">
        <v>3</v>
      </c>
      <c r="G514" s="2">
        <v>1</v>
      </c>
      <c r="H51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514" s="19">
        <f>Clients[[#This Row],[Facture_Mensuelle]]*Clients[[#This Row],[Remise]]</f>
        <v>2.6260000000000003</v>
      </c>
    </row>
    <row r="515" spans="1:9" x14ac:dyDescent="0.25">
      <c r="A515" s="2" t="s">
        <v>548</v>
      </c>
      <c r="B515" s="2" t="s">
        <v>44</v>
      </c>
      <c r="C515" s="2" t="s">
        <v>13</v>
      </c>
      <c r="D515" s="3">
        <v>67.180000000000007</v>
      </c>
      <c r="E515" s="11">
        <v>5</v>
      </c>
      <c r="F515" s="9">
        <v>1</v>
      </c>
      <c r="G515" s="2">
        <v>3</v>
      </c>
      <c r="H51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15" s="19">
        <f>Clients[[#This Row],[Facture_Mensuelle]]*Clients[[#This Row],[Remise]]</f>
        <v>0</v>
      </c>
    </row>
    <row r="516" spans="1:9" x14ac:dyDescent="0.25">
      <c r="A516" s="2" t="s">
        <v>549</v>
      </c>
      <c r="B516" s="2" t="s">
        <v>62</v>
      </c>
      <c r="C516" s="2" t="s">
        <v>19</v>
      </c>
      <c r="D516" s="3">
        <v>96.67</v>
      </c>
      <c r="E516" s="11">
        <v>4</v>
      </c>
      <c r="F516" s="9">
        <v>6</v>
      </c>
      <c r="G516" s="2">
        <v>3</v>
      </c>
      <c r="H51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16" s="19">
        <f>Clients[[#This Row],[Facture_Mensuelle]]*Clients[[#This Row],[Remise]]</f>
        <v>43.5015</v>
      </c>
    </row>
    <row r="517" spans="1:9" x14ac:dyDescent="0.25">
      <c r="A517" s="2" t="s">
        <v>550</v>
      </c>
      <c r="B517" s="2" t="s">
        <v>62</v>
      </c>
      <c r="C517" s="2" t="s">
        <v>7</v>
      </c>
      <c r="D517" s="3">
        <v>76.05</v>
      </c>
      <c r="E517" s="11">
        <v>6</v>
      </c>
      <c r="F517" s="9">
        <v>3</v>
      </c>
      <c r="G517" s="2">
        <v>2</v>
      </c>
      <c r="H51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17" s="19">
        <f>Clients[[#This Row],[Facture_Mensuelle]]*Clients[[#This Row],[Remise]]</f>
        <v>0</v>
      </c>
    </row>
    <row r="518" spans="1:9" x14ac:dyDescent="0.25">
      <c r="A518" s="2" t="s">
        <v>551</v>
      </c>
      <c r="B518" s="2" t="s">
        <v>44</v>
      </c>
      <c r="C518" s="2" t="s">
        <v>10</v>
      </c>
      <c r="D518" s="3">
        <v>22.39</v>
      </c>
      <c r="E518" s="11">
        <v>7</v>
      </c>
      <c r="F518" s="9">
        <v>7</v>
      </c>
      <c r="G518" s="2">
        <v>3</v>
      </c>
      <c r="H51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18" s="19">
        <f>Clients[[#This Row],[Facture_Mensuelle]]*Clients[[#This Row],[Remise]]</f>
        <v>10.0755</v>
      </c>
    </row>
    <row r="519" spans="1:9" x14ac:dyDescent="0.25">
      <c r="A519" s="2" t="s">
        <v>552</v>
      </c>
      <c r="B519" s="2" t="s">
        <v>62</v>
      </c>
      <c r="C519" s="2" t="s">
        <v>7</v>
      </c>
      <c r="D519" s="3">
        <v>88.85</v>
      </c>
      <c r="E519" s="11">
        <v>5</v>
      </c>
      <c r="F519" s="9">
        <v>5</v>
      </c>
      <c r="G519" s="2">
        <v>5</v>
      </c>
      <c r="H51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19" s="19">
        <f>Clients[[#This Row],[Facture_Mensuelle]]*Clients[[#This Row],[Remise]]</f>
        <v>39.982500000000002</v>
      </c>
    </row>
    <row r="520" spans="1:9" x14ac:dyDescent="0.25">
      <c r="A520" s="2" t="s">
        <v>553</v>
      </c>
      <c r="B520" s="2" t="s">
        <v>46</v>
      </c>
      <c r="C520" s="2" t="s">
        <v>10</v>
      </c>
      <c r="D520" s="3">
        <v>83.82</v>
      </c>
      <c r="E520" s="11">
        <v>7</v>
      </c>
      <c r="F520" s="9">
        <v>0</v>
      </c>
      <c r="G520" s="2">
        <v>0</v>
      </c>
      <c r="H52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520" s="19">
        <f>Clients[[#This Row],[Facture_Mensuelle]]*Clients[[#This Row],[Remise]]</f>
        <v>8.3819999999999997</v>
      </c>
    </row>
    <row r="521" spans="1:9" x14ac:dyDescent="0.25">
      <c r="A521" s="2" t="s">
        <v>554</v>
      </c>
      <c r="B521" s="2" t="s">
        <v>34</v>
      </c>
      <c r="C521" s="2" t="s">
        <v>7</v>
      </c>
      <c r="D521" s="3">
        <v>46.16</v>
      </c>
      <c r="E521" s="11">
        <v>10</v>
      </c>
      <c r="F521" s="9">
        <v>1</v>
      </c>
      <c r="G521" s="2">
        <v>3</v>
      </c>
      <c r="H52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21" s="19">
        <f>Clients[[#This Row],[Facture_Mensuelle]]*Clients[[#This Row],[Remise]]</f>
        <v>0</v>
      </c>
    </row>
    <row r="522" spans="1:9" x14ac:dyDescent="0.25">
      <c r="A522" s="2" t="s">
        <v>555</v>
      </c>
      <c r="B522" s="2" t="s">
        <v>42</v>
      </c>
      <c r="C522" s="2" t="s">
        <v>10</v>
      </c>
      <c r="D522" s="3">
        <v>26.73</v>
      </c>
      <c r="E522" s="11">
        <v>0</v>
      </c>
      <c r="F522" s="9">
        <v>6</v>
      </c>
      <c r="G522" s="2">
        <v>3</v>
      </c>
      <c r="H52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22" s="19">
        <f>Clients[[#This Row],[Facture_Mensuelle]]*Clients[[#This Row],[Remise]]</f>
        <v>12.028500000000001</v>
      </c>
    </row>
    <row r="523" spans="1:9" x14ac:dyDescent="0.25">
      <c r="A523" s="2" t="s">
        <v>556</v>
      </c>
      <c r="B523" s="2" t="s">
        <v>105</v>
      </c>
      <c r="C523" s="2" t="s">
        <v>7</v>
      </c>
      <c r="D523" s="3">
        <v>19.37</v>
      </c>
      <c r="E523" s="11">
        <v>8</v>
      </c>
      <c r="F523" s="9">
        <v>3</v>
      </c>
      <c r="G523" s="2">
        <v>5</v>
      </c>
      <c r="H52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23" s="19">
        <f>Clients[[#This Row],[Facture_Mensuelle]]*Clients[[#This Row],[Remise]]</f>
        <v>0</v>
      </c>
    </row>
    <row r="524" spans="1:9" x14ac:dyDescent="0.25">
      <c r="A524" s="2" t="s">
        <v>557</v>
      </c>
      <c r="B524" s="2" t="s">
        <v>30</v>
      </c>
      <c r="C524" s="2" t="s">
        <v>7</v>
      </c>
      <c r="D524" s="3">
        <v>49.8</v>
      </c>
      <c r="E524" s="11">
        <v>3</v>
      </c>
      <c r="F524" s="9">
        <v>5</v>
      </c>
      <c r="G524" s="2">
        <v>0</v>
      </c>
      <c r="H52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24" s="19">
        <f>Clients[[#This Row],[Facture_Mensuelle]]*Clients[[#This Row],[Remise]]</f>
        <v>22.41</v>
      </c>
    </row>
    <row r="525" spans="1:9" x14ac:dyDescent="0.25">
      <c r="A525" s="2" t="s">
        <v>558</v>
      </c>
      <c r="B525" s="2" t="s">
        <v>105</v>
      </c>
      <c r="C525" s="2" t="s">
        <v>19</v>
      </c>
      <c r="D525" s="3">
        <v>27.53</v>
      </c>
      <c r="E525" s="11">
        <v>3</v>
      </c>
      <c r="F525" s="9">
        <v>6</v>
      </c>
      <c r="G525" s="2">
        <v>4</v>
      </c>
      <c r="H52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25" s="19">
        <f>Clients[[#This Row],[Facture_Mensuelle]]*Clients[[#This Row],[Remise]]</f>
        <v>12.388500000000001</v>
      </c>
    </row>
    <row r="526" spans="1:9" x14ac:dyDescent="0.25">
      <c r="A526" s="2" t="s">
        <v>559</v>
      </c>
      <c r="B526" s="2" t="s">
        <v>72</v>
      </c>
      <c r="C526" s="2" t="s">
        <v>13</v>
      </c>
      <c r="D526" s="3">
        <v>21.59</v>
      </c>
      <c r="E526" s="11">
        <v>6</v>
      </c>
      <c r="F526" s="9">
        <v>1</v>
      </c>
      <c r="G526" s="2">
        <v>2</v>
      </c>
      <c r="H52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26" s="19">
        <f>Clients[[#This Row],[Facture_Mensuelle]]*Clients[[#This Row],[Remise]]</f>
        <v>0</v>
      </c>
    </row>
    <row r="527" spans="1:9" x14ac:dyDescent="0.25">
      <c r="A527" s="2" t="s">
        <v>560</v>
      </c>
      <c r="B527" s="2" t="s">
        <v>65</v>
      </c>
      <c r="C527" s="2" t="s">
        <v>7</v>
      </c>
      <c r="D527" s="3">
        <v>49.05</v>
      </c>
      <c r="E527" s="11">
        <v>0</v>
      </c>
      <c r="F527" s="9">
        <v>2</v>
      </c>
      <c r="G527" s="2">
        <v>4</v>
      </c>
      <c r="H52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27" s="19">
        <f>Clients[[#This Row],[Facture_Mensuelle]]*Clients[[#This Row],[Remise]]</f>
        <v>0</v>
      </c>
    </row>
    <row r="528" spans="1:9" x14ac:dyDescent="0.25">
      <c r="A528" s="2" t="s">
        <v>561</v>
      </c>
      <c r="B528" s="2" t="s">
        <v>59</v>
      </c>
      <c r="C528" s="2" t="s">
        <v>13</v>
      </c>
      <c r="D528" s="3">
        <v>65.599999999999994</v>
      </c>
      <c r="E528" s="11">
        <v>1</v>
      </c>
      <c r="F528" s="9">
        <v>5</v>
      </c>
      <c r="G528" s="2">
        <v>5</v>
      </c>
      <c r="H52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28" s="19">
        <f>Clients[[#This Row],[Facture_Mensuelle]]*Clients[[#This Row],[Remise]]</f>
        <v>29.52</v>
      </c>
    </row>
    <row r="529" spans="1:9" x14ac:dyDescent="0.25">
      <c r="A529" s="2" t="s">
        <v>562</v>
      </c>
      <c r="B529" s="2" t="s">
        <v>69</v>
      </c>
      <c r="C529" s="2" t="s">
        <v>7</v>
      </c>
      <c r="D529" s="3">
        <v>49.47</v>
      </c>
      <c r="E529" s="11">
        <v>6</v>
      </c>
      <c r="F529" s="9">
        <v>1</v>
      </c>
      <c r="G529" s="2">
        <v>0</v>
      </c>
      <c r="H52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29" s="19">
        <f>Clients[[#This Row],[Facture_Mensuelle]]*Clients[[#This Row],[Remise]]</f>
        <v>0</v>
      </c>
    </row>
    <row r="530" spans="1:9" x14ac:dyDescent="0.25">
      <c r="A530" s="2" t="s">
        <v>563</v>
      </c>
      <c r="B530" s="2" t="s">
        <v>28</v>
      </c>
      <c r="C530" s="2" t="s">
        <v>13</v>
      </c>
      <c r="D530" s="3">
        <v>82.05</v>
      </c>
      <c r="E530" s="11">
        <v>8</v>
      </c>
      <c r="F530" s="9">
        <v>6</v>
      </c>
      <c r="G530" s="2">
        <v>1</v>
      </c>
      <c r="H53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30" s="19">
        <f>Clients[[#This Row],[Facture_Mensuelle]]*Clients[[#This Row],[Remise]]</f>
        <v>36.922499999999999</v>
      </c>
    </row>
    <row r="531" spans="1:9" x14ac:dyDescent="0.25">
      <c r="A531" s="2" t="s">
        <v>564</v>
      </c>
      <c r="B531" s="2" t="s">
        <v>24</v>
      </c>
      <c r="C531" s="2" t="s">
        <v>13</v>
      </c>
      <c r="D531" s="3">
        <v>28.39</v>
      </c>
      <c r="E531" s="11">
        <v>8</v>
      </c>
      <c r="F531" s="9">
        <v>4</v>
      </c>
      <c r="G531" s="2">
        <v>3</v>
      </c>
      <c r="H53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31" s="19">
        <f>Clients[[#This Row],[Facture_Mensuelle]]*Clients[[#This Row],[Remise]]</f>
        <v>12.775500000000001</v>
      </c>
    </row>
    <row r="532" spans="1:9" x14ac:dyDescent="0.25">
      <c r="A532" s="2" t="s">
        <v>565</v>
      </c>
      <c r="B532" s="2" t="s">
        <v>42</v>
      </c>
      <c r="C532" s="2" t="s">
        <v>19</v>
      </c>
      <c r="D532" s="3">
        <v>99.83</v>
      </c>
      <c r="E532" s="11">
        <v>1</v>
      </c>
      <c r="F532" s="9">
        <v>2</v>
      </c>
      <c r="G532" s="2">
        <v>1</v>
      </c>
      <c r="H53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32" s="19">
        <f>Clients[[#This Row],[Facture_Mensuelle]]*Clients[[#This Row],[Remise]]</f>
        <v>44.923499999999997</v>
      </c>
    </row>
    <row r="533" spans="1:9" x14ac:dyDescent="0.25">
      <c r="A533" s="2" t="s">
        <v>566</v>
      </c>
      <c r="B533" s="2" t="s">
        <v>46</v>
      </c>
      <c r="C533" s="2" t="s">
        <v>19</v>
      </c>
      <c r="D533" s="3">
        <v>56.59</v>
      </c>
      <c r="E533" s="11">
        <v>9</v>
      </c>
      <c r="F533" s="9">
        <v>1</v>
      </c>
      <c r="G533" s="2">
        <v>5</v>
      </c>
      <c r="H53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33" s="19">
        <f>Clients[[#This Row],[Facture_Mensuelle]]*Clients[[#This Row],[Remise]]</f>
        <v>0</v>
      </c>
    </row>
    <row r="534" spans="1:9" x14ac:dyDescent="0.25">
      <c r="A534" s="2" t="s">
        <v>567</v>
      </c>
      <c r="B534" s="2" t="s">
        <v>34</v>
      </c>
      <c r="C534" s="2" t="s">
        <v>19</v>
      </c>
      <c r="D534" s="3">
        <v>19.39</v>
      </c>
      <c r="E534" s="11">
        <v>9</v>
      </c>
      <c r="F534" s="9">
        <v>1</v>
      </c>
      <c r="G534" s="2">
        <v>3</v>
      </c>
      <c r="H53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34" s="19">
        <f>Clients[[#This Row],[Facture_Mensuelle]]*Clients[[#This Row],[Remise]]</f>
        <v>0</v>
      </c>
    </row>
    <row r="535" spans="1:9" x14ac:dyDescent="0.25">
      <c r="A535" s="2" t="s">
        <v>568</v>
      </c>
      <c r="B535" s="2" t="s">
        <v>46</v>
      </c>
      <c r="C535" s="2" t="s">
        <v>10</v>
      </c>
      <c r="D535" s="3">
        <v>67.430000000000007</v>
      </c>
      <c r="E535" s="11">
        <v>5</v>
      </c>
      <c r="F535" s="9">
        <v>6</v>
      </c>
      <c r="G535" s="2">
        <v>3</v>
      </c>
      <c r="H53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35" s="19">
        <f>Clients[[#This Row],[Facture_Mensuelle]]*Clients[[#This Row],[Remise]]</f>
        <v>30.343500000000002</v>
      </c>
    </row>
    <row r="536" spans="1:9" x14ac:dyDescent="0.25">
      <c r="A536" s="2" t="s">
        <v>569</v>
      </c>
      <c r="B536" s="2" t="s">
        <v>105</v>
      </c>
      <c r="C536" s="2" t="s">
        <v>10</v>
      </c>
      <c r="D536" s="3">
        <v>63.67</v>
      </c>
      <c r="E536" s="11">
        <v>1</v>
      </c>
      <c r="F536" s="9">
        <v>8</v>
      </c>
      <c r="G536" s="2">
        <v>2</v>
      </c>
      <c r="H53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36" s="19">
        <f>Clients[[#This Row],[Facture_Mensuelle]]*Clients[[#This Row],[Remise]]</f>
        <v>28.651500000000002</v>
      </c>
    </row>
    <row r="537" spans="1:9" x14ac:dyDescent="0.25">
      <c r="A537" s="2" t="s">
        <v>570</v>
      </c>
      <c r="B537" s="2" t="s">
        <v>28</v>
      </c>
      <c r="C537" s="2" t="s">
        <v>13</v>
      </c>
      <c r="D537" s="3">
        <v>25.85</v>
      </c>
      <c r="E537" s="11">
        <v>4</v>
      </c>
      <c r="F537" s="9">
        <v>0</v>
      </c>
      <c r="G537" s="2">
        <v>1</v>
      </c>
      <c r="H53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37" s="19">
        <f>Clients[[#This Row],[Facture_Mensuelle]]*Clients[[#This Row],[Remise]]</f>
        <v>0</v>
      </c>
    </row>
    <row r="538" spans="1:9" x14ac:dyDescent="0.25">
      <c r="A538" s="2" t="s">
        <v>571</v>
      </c>
      <c r="B538" s="2" t="s">
        <v>24</v>
      </c>
      <c r="C538" s="2" t="s">
        <v>19</v>
      </c>
      <c r="D538" s="3">
        <v>77.73</v>
      </c>
      <c r="E538" s="11">
        <v>5</v>
      </c>
      <c r="F538" s="9">
        <v>3</v>
      </c>
      <c r="G538" s="2">
        <v>3</v>
      </c>
      <c r="H53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38" s="19">
        <f>Clients[[#This Row],[Facture_Mensuelle]]*Clients[[#This Row],[Remise]]</f>
        <v>0</v>
      </c>
    </row>
    <row r="539" spans="1:9" x14ac:dyDescent="0.25">
      <c r="A539" s="2" t="s">
        <v>572</v>
      </c>
      <c r="B539" s="2" t="s">
        <v>22</v>
      </c>
      <c r="C539" s="2" t="s">
        <v>19</v>
      </c>
      <c r="D539" s="3">
        <v>78.09</v>
      </c>
      <c r="E539" s="11">
        <v>1</v>
      </c>
      <c r="F539" s="9">
        <v>3</v>
      </c>
      <c r="G539" s="2">
        <v>3</v>
      </c>
      <c r="H53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39" s="19">
        <f>Clients[[#This Row],[Facture_Mensuelle]]*Clients[[#This Row],[Remise]]</f>
        <v>35.140500000000003</v>
      </c>
    </row>
    <row r="540" spans="1:9" x14ac:dyDescent="0.25">
      <c r="A540" s="2" t="s">
        <v>573</v>
      </c>
      <c r="B540" s="2" t="s">
        <v>69</v>
      </c>
      <c r="C540" s="2" t="s">
        <v>13</v>
      </c>
      <c r="D540" s="3">
        <v>50.89</v>
      </c>
      <c r="E540" s="11">
        <v>10</v>
      </c>
      <c r="F540" s="9">
        <v>3</v>
      </c>
      <c r="G540" s="2">
        <v>4</v>
      </c>
      <c r="H54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40" s="19">
        <f>Clients[[#This Row],[Facture_Mensuelle]]*Clients[[#This Row],[Remise]]</f>
        <v>0</v>
      </c>
    </row>
    <row r="541" spans="1:9" x14ac:dyDescent="0.25">
      <c r="A541" s="2" t="s">
        <v>574</v>
      </c>
      <c r="B541" s="2" t="s">
        <v>48</v>
      </c>
      <c r="C541" s="2" t="s">
        <v>7</v>
      </c>
      <c r="D541" s="3">
        <v>23.27</v>
      </c>
      <c r="E541" s="11">
        <v>5</v>
      </c>
      <c r="F541" s="9">
        <v>7</v>
      </c>
      <c r="G541" s="2">
        <v>3</v>
      </c>
      <c r="H54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41" s="19">
        <f>Clients[[#This Row],[Facture_Mensuelle]]*Clients[[#This Row],[Remise]]</f>
        <v>10.471500000000001</v>
      </c>
    </row>
    <row r="542" spans="1:9" x14ac:dyDescent="0.25">
      <c r="A542" s="2" t="s">
        <v>575</v>
      </c>
      <c r="B542" s="2" t="s">
        <v>69</v>
      </c>
      <c r="C542" s="2" t="s">
        <v>7</v>
      </c>
      <c r="D542" s="3">
        <v>64.22</v>
      </c>
      <c r="E542" s="11">
        <v>8</v>
      </c>
      <c r="F542" s="9">
        <v>8</v>
      </c>
      <c r="G542" s="2">
        <v>2</v>
      </c>
      <c r="H54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42" s="19">
        <f>Clients[[#This Row],[Facture_Mensuelle]]*Clients[[#This Row],[Remise]]</f>
        <v>28.899000000000001</v>
      </c>
    </row>
    <row r="543" spans="1:9" x14ac:dyDescent="0.25">
      <c r="A543" s="2" t="s">
        <v>576</v>
      </c>
      <c r="B543" s="2" t="s">
        <v>32</v>
      </c>
      <c r="C543" s="2" t="s">
        <v>10</v>
      </c>
      <c r="D543" s="3">
        <v>81.489999999999995</v>
      </c>
      <c r="E543" s="11">
        <v>6</v>
      </c>
      <c r="F543" s="9">
        <v>0</v>
      </c>
      <c r="G543" s="2">
        <v>4</v>
      </c>
      <c r="H54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543" s="19">
        <f>Clients[[#This Row],[Facture_Mensuelle]]*Clients[[#This Row],[Remise]]</f>
        <v>8.1489999999999991</v>
      </c>
    </row>
    <row r="544" spans="1:9" x14ac:dyDescent="0.25">
      <c r="A544" s="2" t="s">
        <v>577</v>
      </c>
      <c r="B544" s="2" t="s">
        <v>42</v>
      </c>
      <c r="C544" s="2" t="s">
        <v>19</v>
      </c>
      <c r="D544" s="3">
        <v>25.46</v>
      </c>
      <c r="E544" s="11">
        <v>6</v>
      </c>
      <c r="F544" s="9">
        <v>0</v>
      </c>
      <c r="G544" s="2">
        <v>5</v>
      </c>
      <c r="H54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44" s="19">
        <f>Clients[[#This Row],[Facture_Mensuelle]]*Clients[[#This Row],[Remise]]</f>
        <v>0</v>
      </c>
    </row>
    <row r="545" spans="1:9" x14ac:dyDescent="0.25">
      <c r="A545" s="2" t="s">
        <v>578</v>
      </c>
      <c r="B545" s="2" t="s">
        <v>59</v>
      </c>
      <c r="C545" s="2" t="s">
        <v>13</v>
      </c>
      <c r="D545" s="3">
        <v>37.479999999999997</v>
      </c>
      <c r="E545" s="11">
        <v>1</v>
      </c>
      <c r="F545" s="9">
        <v>4</v>
      </c>
      <c r="G545" s="2">
        <v>2</v>
      </c>
      <c r="H54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45" s="19">
        <f>Clients[[#This Row],[Facture_Mensuelle]]*Clients[[#This Row],[Remise]]</f>
        <v>16.866</v>
      </c>
    </row>
    <row r="546" spans="1:9" x14ac:dyDescent="0.25">
      <c r="A546" s="2" t="s">
        <v>579</v>
      </c>
      <c r="B546" s="2" t="s">
        <v>57</v>
      </c>
      <c r="C546" s="2" t="s">
        <v>7</v>
      </c>
      <c r="D546" s="3">
        <v>72.7</v>
      </c>
      <c r="E546" s="11">
        <v>3</v>
      </c>
      <c r="F546" s="9">
        <v>2</v>
      </c>
      <c r="G546" s="2">
        <v>3</v>
      </c>
      <c r="H54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46" s="19">
        <f>Clients[[#This Row],[Facture_Mensuelle]]*Clients[[#This Row],[Remise]]</f>
        <v>0</v>
      </c>
    </row>
    <row r="547" spans="1:9" x14ac:dyDescent="0.25">
      <c r="A547" s="2" t="s">
        <v>580</v>
      </c>
      <c r="B547" s="2" t="s">
        <v>48</v>
      </c>
      <c r="C547" s="2" t="s">
        <v>7</v>
      </c>
      <c r="D547" s="3">
        <v>71.13</v>
      </c>
      <c r="E547" s="11">
        <v>5</v>
      </c>
      <c r="F547" s="9">
        <v>2</v>
      </c>
      <c r="G547" s="2">
        <v>0</v>
      </c>
      <c r="H54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47" s="19">
        <f>Clients[[#This Row],[Facture_Mensuelle]]*Clients[[#This Row],[Remise]]</f>
        <v>0</v>
      </c>
    </row>
    <row r="548" spans="1:9" x14ac:dyDescent="0.25">
      <c r="A548" s="2" t="s">
        <v>581</v>
      </c>
      <c r="B548" s="2" t="s">
        <v>105</v>
      </c>
      <c r="C548" s="2" t="s">
        <v>7</v>
      </c>
      <c r="D548" s="3">
        <v>80.459999999999994</v>
      </c>
      <c r="E548" s="11">
        <v>5</v>
      </c>
      <c r="F548" s="9">
        <v>7</v>
      </c>
      <c r="G548" s="2">
        <v>0</v>
      </c>
      <c r="H54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48" s="19">
        <f>Clients[[#This Row],[Facture_Mensuelle]]*Clients[[#This Row],[Remise]]</f>
        <v>36.207000000000001</v>
      </c>
    </row>
    <row r="549" spans="1:9" x14ac:dyDescent="0.25">
      <c r="A549" s="2" t="s">
        <v>582</v>
      </c>
      <c r="B549" s="2" t="s">
        <v>9</v>
      </c>
      <c r="C549" s="2" t="s">
        <v>7</v>
      </c>
      <c r="D549" s="3">
        <v>12.13</v>
      </c>
      <c r="E549" s="11">
        <v>3</v>
      </c>
      <c r="F549" s="9">
        <v>8</v>
      </c>
      <c r="G549" s="2">
        <v>4</v>
      </c>
      <c r="H54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49" s="19">
        <f>Clients[[#This Row],[Facture_Mensuelle]]*Clients[[#This Row],[Remise]]</f>
        <v>5.4585000000000008</v>
      </c>
    </row>
    <row r="550" spans="1:9" x14ac:dyDescent="0.25">
      <c r="A550" s="2" t="s">
        <v>583</v>
      </c>
      <c r="B550" s="2" t="s">
        <v>15</v>
      </c>
      <c r="C550" s="2" t="s">
        <v>19</v>
      </c>
      <c r="D550" s="3">
        <v>62.48</v>
      </c>
      <c r="E550" s="11">
        <v>9</v>
      </c>
      <c r="F550" s="9">
        <v>5</v>
      </c>
      <c r="G550" s="2">
        <v>5</v>
      </c>
      <c r="H55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50" s="19">
        <f>Clients[[#This Row],[Facture_Mensuelle]]*Clients[[#This Row],[Remise]]</f>
        <v>28.116</v>
      </c>
    </row>
    <row r="551" spans="1:9" x14ac:dyDescent="0.25">
      <c r="A551" s="2" t="s">
        <v>584</v>
      </c>
      <c r="B551" s="2" t="s">
        <v>97</v>
      </c>
      <c r="C551" s="2" t="s">
        <v>19</v>
      </c>
      <c r="D551" s="3">
        <v>24.51</v>
      </c>
      <c r="E551" s="11">
        <v>3</v>
      </c>
      <c r="F551" s="9">
        <v>4</v>
      </c>
      <c r="G551" s="2">
        <v>1</v>
      </c>
      <c r="H55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51" s="19">
        <f>Clients[[#This Row],[Facture_Mensuelle]]*Clients[[#This Row],[Remise]]</f>
        <v>11.029500000000001</v>
      </c>
    </row>
    <row r="552" spans="1:9" x14ac:dyDescent="0.25">
      <c r="A552" s="2" t="s">
        <v>585</v>
      </c>
      <c r="B552" s="2" t="s">
        <v>22</v>
      </c>
      <c r="C552" s="2" t="s">
        <v>7</v>
      </c>
      <c r="D552" s="3">
        <v>24.53</v>
      </c>
      <c r="E552" s="11">
        <v>3</v>
      </c>
      <c r="F552" s="9">
        <v>4</v>
      </c>
      <c r="G552" s="2">
        <v>2</v>
      </c>
      <c r="H55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52" s="19">
        <f>Clients[[#This Row],[Facture_Mensuelle]]*Clients[[#This Row],[Remise]]</f>
        <v>11.038500000000001</v>
      </c>
    </row>
    <row r="553" spans="1:9" x14ac:dyDescent="0.25">
      <c r="A553" s="2" t="s">
        <v>586</v>
      </c>
      <c r="B553" s="2" t="s">
        <v>105</v>
      </c>
      <c r="C553" s="2" t="s">
        <v>19</v>
      </c>
      <c r="D553" s="3">
        <v>97.51</v>
      </c>
      <c r="E553" s="11">
        <v>2</v>
      </c>
      <c r="F553" s="9">
        <v>1</v>
      </c>
      <c r="G553" s="2">
        <v>5</v>
      </c>
      <c r="H55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53" s="19">
        <f>Clients[[#This Row],[Facture_Mensuelle]]*Clients[[#This Row],[Remise]]</f>
        <v>43.8795</v>
      </c>
    </row>
    <row r="554" spans="1:9" x14ac:dyDescent="0.25">
      <c r="A554" s="2" t="s">
        <v>587</v>
      </c>
      <c r="B554" s="2" t="s">
        <v>46</v>
      </c>
      <c r="C554" s="2" t="s">
        <v>10</v>
      </c>
      <c r="D554" s="3">
        <v>28.11</v>
      </c>
      <c r="E554" s="11">
        <v>5</v>
      </c>
      <c r="F554" s="9">
        <v>5</v>
      </c>
      <c r="G554" s="2">
        <v>2</v>
      </c>
      <c r="H55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54" s="19">
        <f>Clients[[#This Row],[Facture_Mensuelle]]*Clients[[#This Row],[Remise]]</f>
        <v>12.6495</v>
      </c>
    </row>
    <row r="555" spans="1:9" x14ac:dyDescent="0.25">
      <c r="A555" s="2" t="s">
        <v>588</v>
      </c>
      <c r="B555" s="2" t="s">
        <v>15</v>
      </c>
      <c r="C555" s="2" t="s">
        <v>7</v>
      </c>
      <c r="D555" s="3">
        <v>26.86</v>
      </c>
      <c r="E555" s="11">
        <v>8</v>
      </c>
      <c r="F555" s="9">
        <v>3</v>
      </c>
      <c r="G555" s="2">
        <v>5</v>
      </c>
      <c r="H55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55" s="19">
        <f>Clients[[#This Row],[Facture_Mensuelle]]*Clients[[#This Row],[Remise]]</f>
        <v>0</v>
      </c>
    </row>
    <row r="556" spans="1:9" x14ac:dyDescent="0.25">
      <c r="A556" s="2" t="s">
        <v>589</v>
      </c>
      <c r="B556" s="2" t="s">
        <v>38</v>
      </c>
      <c r="C556" s="2" t="s">
        <v>13</v>
      </c>
      <c r="D556" s="3">
        <v>72.86</v>
      </c>
      <c r="E556" s="11">
        <v>2</v>
      </c>
      <c r="F556" s="9">
        <v>2</v>
      </c>
      <c r="G556" s="2">
        <v>3</v>
      </c>
      <c r="H55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56" s="19">
        <f>Clients[[#This Row],[Facture_Mensuelle]]*Clients[[#This Row],[Remise]]</f>
        <v>0</v>
      </c>
    </row>
    <row r="557" spans="1:9" x14ac:dyDescent="0.25">
      <c r="A557" s="2" t="s">
        <v>590</v>
      </c>
      <c r="B557" s="2" t="s">
        <v>44</v>
      </c>
      <c r="C557" s="2" t="s">
        <v>10</v>
      </c>
      <c r="D557" s="3">
        <v>20.8</v>
      </c>
      <c r="E557" s="11">
        <v>4</v>
      </c>
      <c r="F557" s="9">
        <v>7</v>
      </c>
      <c r="G557" s="2">
        <v>2</v>
      </c>
      <c r="H55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57" s="19">
        <f>Clients[[#This Row],[Facture_Mensuelle]]*Clients[[#This Row],[Remise]]</f>
        <v>9.3600000000000012</v>
      </c>
    </row>
    <row r="558" spans="1:9" x14ac:dyDescent="0.25">
      <c r="A558" s="2" t="s">
        <v>591</v>
      </c>
      <c r="B558" s="2" t="s">
        <v>105</v>
      </c>
      <c r="C558" s="2" t="s">
        <v>10</v>
      </c>
      <c r="D558" s="3">
        <v>57.66</v>
      </c>
      <c r="E558" s="11">
        <v>2</v>
      </c>
      <c r="F558" s="9">
        <v>1</v>
      </c>
      <c r="G558" s="2">
        <v>1</v>
      </c>
      <c r="H55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558" s="19">
        <f>Clients[[#This Row],[Facture_Mensuelle]]*Clients[[#This Row],[Remise]]</f>
        <v>5.766</v>
      </c>
    </row>
    <row r="559" spans="1:9" x14ac:dyDescent="0.25">
      <c r="A559" s="2" t="s">
        <v>592</v>
      </c>
      <c r="B559" s="2" t="s">
        <v>12</v>
      </c>
      <c r="C559" s="2" t="s">
        <v>19</v>
      </c>
      <c r="D559" s="3">
        <v>76.95</v>
      </c>
      <c r="E559" s="11">
        <v>8</v>
      </c>
      <c r="F559" s="9">
        <v>2</v>
      </c>
      <c r="G559" s="2">
        <v>5</v>
      </c>
      <c r="H55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59" s="19">
        <f>Clients[[#This Row],[Facture_Mensuelle]]*Clients[[#This Row],[Remise]]</f>
        <v>0</v>
      </c>
    </row>
    <row r="560" spans="1:9" x14ac:dyDescent="0.25">
      <c r="A560" s="2" t="s">
        <v>593</v>
      </c>
      <c r="B560" s="2" t="s">
        <v>59</v>
      </c>
      <c r="C560" s="2" t="s">
        <v>13</v>
      </c>
      <c r="D560" s="3">
        <v>18.07</v>
      </c>
      <c r="E560" s="11">
        <v>9</v>
      </c>
      <c r="F560" s="9">
        <v>5</v>
      </c>
      <c r="G560" s="2">
        <v>2</v>
      </c>
      <c r="H56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60" s="19">
        <f>Clients[[#This Row],[Facture_Mensuelle]]*Clients[[#This Row],[Remise]]</f>
        <v>8.1315000000000008</v>
      </c>
    </row>
    <row r="561" spans="1:9" x14ac:dyDescent="0.25">
      <c r="A561" s="2" t="s">
        <v>594</v>
      </c>
      <c r="B561" s="2" t="s">
        <v>9</v>
      </c>
      <c r="C561" s="2" t="s">
        <v>10</v>
      </c>
      <c r="D561" s="3">
        <v>34.14</v>
      </c>
      <c r="E561" s="11">
        <v>10</v>
      </c>
      <c r="F561" s="9">
        <v>1</v>
      </c>
      <c r="G561" s="2">
        <v>3</v>
      </c>
      <c r="H56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561" s="19">
        <f>Clients[[#This Row],[Facture_Mensuelle]]*Clients[[#This Row],[Remise]]</f>
        <v>3.4140000000000001</v>
      </c>
    </row>
    <row r="562" spans="1:9" x14ac:dyDescent="0.25">
      <c r="A562" s="2" t="s">
        <v>595</v>
      </c>
      <c r="B562" s="2" t="s">
        <v>12</v>
      </c>
      <c r="C562" s="2" t="s">
        <v>19</v>
      </c>
      <c r="D562" s="3">
        <v>12.89</v>
      </c>
      <c r="E562" s="11">
        <v>7</v>
      </c>
      <c r="F562" s="9">
        <v>6</v>
      </c>
      <c r="G562" s="2">
        <v>0</v>
      </c>
      <c r="H56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62" s="19">
        <f>Clients[[#This Row],[Facture_Mensuelle]]*Clients[[#This Row],[Remise]]</f>
        <v>5.8005000000000004</v>
      </c>
    </row>
    <row r="563" spans="1:9" x14ac:dyDescent="0.25">
      <c r="A563" s="2" t="s">
        <v>596</v>
      </c>
      <c r="B563" s="2" t="s">
        <v>105</v>
      </c>
      <c r="C563" s="2" t="s">
        <v>19</v>
      </c>
      <c r="D563" s="3">
        <v>14.78</v>
      </c>
      <c r="E563" s="11">
        <v>2</v>
      </c>
      <c r="F563" s="9">
        <v>0</v>
      </c>
      <c r="G563" s="2">
        <v>2</v>
      </c>
      <c r="H56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63" s="19">
        <f>Clients[[#This Row],[Facture_Mensuelle]]*Clients[[#This Row],[Remise]]</f>
        <v>6.6509999999999998</v>
      </c>
    </row>
    <row r="564" spans="1:9" x14ac:dyDescent="0.25">
      <c r="A564" s="2" t="s">
        <v>597</v>
      </c>
      <c r="B564" s="2" t="s">
        <v>28</v>
      </c>
      <c r="C564" s="2" t="s">
        <v>13</v>
      </c>
      <c r="D564" s="3">
        <v>87.34</v>
      </c>
      <c r="E564" s="11">
        <v>2</v>
      </c>
      <c r="F564" s="9">
        <v>3</v>
      </c>
      <c r="G564" s="2">
        <v>1</v>
      </c>
      <c r="H56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64" s="19">
        <f>Clients[[#This Row],[Facture_Mensuelle]]*Clients[[#This Row],[Remise]]</f>
        <v>0</v>
      </c>
    </row>
    <row r="565" spans="1:9" x14ac:dyDescent="0.25">
      <c r="A565" s="2" t="s">
        <v>598</v>
      </c>
      <c r="B565" s="2" t="s">
        <v>42</v>
      </c>
      <c r="C565" s="2" t="s">
        <v>13</v>
      </c>
      <c r="D565" s="3">
        <v>68.400000000000006</v>
      </c>
      <c r="E565" s="11">
        <v>3</v>
      </c>
      <c r="F565" s="9">
        <v>7</v>
      </c>
      <c r="G565" s="2">
        <v>5</v>
      </c>
      <c r="H56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65" s="19">
        <f>Clients[[#This Row],[Facture_Mensuelle]]*Clients[[#This Row],[Remise]]</f>
        <v>30.780000000000005</v>
      </c>
    </row>
    <row r="566" spans="1:9" x14ac:dyDescent="0.25">
      <c r="A566" s="2" t="s">
        <v>599</v>
      </c>
      <c r="B566" s="2" t="s">
        <v>57</v>
      </c>
      <c r="C566" s="2" t="s">
        <v>13</v>
      </c>
      <c r="D566" s="3">
        <v>73.84</v>
      </c>
      <c r="E566" s="11">
        <v>9</v>
      </c>
      <c r="F566" s="9">
        <v>7</v>
      </c>
      <c r="G566" s="2">
        <v>0</v>
      </c>
      <c r="H56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66" s="19">
        <f>Clients[[#This Row],[Facture_Mensuelle]]*Clients[[#This Row],[Remise]]</f>
        <v>33.228000000000002</v>
      </c>
    </row>
    <row r="567" spans="1:9" x14ac:dyDescent="0.25">
      <c r="A567" s="2" t="s">
        <v>600</v>
      </c>
      <c r="B567" s="2" t="s">
        <v>57</v>
      </c>
      <c r="C567" s="2" t="s">
        <v>7</v>
      </c>
      <c r="D567" s="3">
        <v>85.09</v>
      </c>
      <c r="E567" s="11">
        <v>4</v>
      </c>
      <c r="F567" s="9">
        <v>6</v>
      </c>
      <c r="G567" s="2">
        <v>3</v>
      </c>
      <c r="H56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67" s="19">
        <f>Clients[[#This Row],[Facture_Mensuelle]]*Clients[[#This Row],[Remise]]</f>
        <v>38.290500000000002</v>
      </c>
    </row>
    <row r="568" spans="1:9" x14ac:dyDescent="0.25">
      <c r="A568" s="2" t="s">
        <v>601</v>
      </c>
      <c r="B568" s="2" t="s">
        <v>15</v>
      </c>
      <c r="C568" s="2" t="s">
        <v>13</v>
      </c>
      <c r="D568" s="3">
        <v>85.75</v>
      </c>
      <c r="E568" s="11">
        <v>9</v>
      </c>
      <c r="F568" s="9">
        <v>2</v>
      </c>
      <c r="G568" s="2">
        <v>1</v>
      </c>
      <c r="H56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68" s="19">
        <f>Clients[[#This Row],[Facture_Mensuelle]]*Clients[[#This Row],[Remise]]</f>
        <v>0</v>
      </c>
    </row>
    <row r="569" spans="1:9" x14ac:dyDescent="0.25">
      <c r="A569" s="2" t="s">
        <v>602</v>
      </c>
      <c r="B569" s="2" t="s">
        <v>30</v>
      </c>
      <c r="C569" s="2" t="s">
        <v>7</v>
      </c>
      <c r="D569" s="3">
        <v>95.18</v>
      </c>
      <c r="E569" s="11">
        <v>4</v>
      </c>
      <c r="F569" s="9">
        <v>2</v>
      </c>
      <c r="G569" s="2">
        <v>0</v>
      </c>
      <c r="H56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69" s="19">
        <f>Clients[[#This Row],[Facture_Mensuelle]]*Clients[[#This Row],[Remise]]</f>
        <v>0</v>
      </c>
    </row>
    <row r="570" spans="1:9" x14ac:dyDescent="0.25">
      <c r="A570" s="2" t="s">
        <v>603</v>
      </c>
      <c r="B570" s="2" t="s">
        <v>30</v>
      </c>
      <c r="C570" s="2" t="s">
        <v>7</v>
      </c>
      <c r="D570" s="3">
        <v>38.619999999999997</v>
      </c>
      <c r="E570" s="11">
        <v>1</v>
      </c>
      <c r="F570" s="9">
        <v>3</v>
      </c>
      <c r="G570" s="2">
        <v>2</v>
      </c>
      <c r="H57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70" s="19">
        <f>Clients[[#This Row],[Facture_Mensuelle]]*Clients[[#This Row],[Remise]]</f>
        <v>0</v>
      </c>
    </row>
    <row r="571" spans="1:9" x14ac:dyDescent="0.25">
      <c r="A571" s="2" t="s">
        <v>604</v>
      </c>
      <c r="B571" s="2" t="s">
        <v>18</v>
      </c>
      <c r="C571" s="2" t="s">
        <v>10</v>
      </c>
      <c r="D571" s="3">
        <v>95.13</v>
      </c>
      <c r="E571" s="11">
        <v>1</v>
      </c>
      <c r="F571" s="9">
        <v>4</v>
      </c>
      <c r="G571" s="2">
        <v>1</v>
      </c>
      <c r="H57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71" s="19">
        <f>Clients[[#This Row],[Facture_Mensuelle]]*Clients[[#This Row],[Remise]]</f>
        <v>42.808500000000002</v>
      </c>
    </row>
    <row r="572" spans="1:9" x14ac:dyDescent="0.25">
      <c r="A572" s="2" t="s">
        <v>605</v>
      </c>
      <c r="B572" s="2" t="s">
        <v>65</v>
      </c>
      <c r="C572" s="2" t="s">
        <v>7</v>
      </c>
      <c r="D572" s="3">
        <v>41.99</v>
      </c>
      <c r="E572" s="11">
        <v>2</v>
      </c>
      <c r="F572" s="9">
        <v>4</v>
      </c>
      <c r="G572" s="2">
        <v>5</v>
      </c>
      <c r="H57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72" s="19">
        <f>Clients[[#This Row],[Facture_Mensuelle]]*Clients[[#This Row],[Remise]]</f>
        <v>18.895500000000002</v>
      </c>
    </row>
    <row r="573" spans="1:9" x14ac:dyDescent="0.25">
      <c r="A573" s="2" t="s">
        <v>606</v>
      </c>
      <c r="B573" s="2" t="s">
        <v>18</v>
      </c>
      <c r="C573" s="2" t="s">
        <v>7</v>
      </c>
      <c r="D573" s="3">
        <v>31.44</v>
      </c>
      <c r="E573" s="11">
        <v>6</v>
      </c>
      <c r="F573" s="9">
        <v>7</v>
      </c>
      <c r="G573" s="2">
        <v>2</v>
      </c>
      <c r="H57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73" s="19">
        <f>Clients[[#This Row],[Facture_Mensuelle]]*Clients[[#This Row],[Remise]]</f>
        <v>14.148000000000001</v>
      </c>
    </row>
    <row r="574" spans="1:9" x14ac:dyDescent="0.25">
      <c r="A574" s="2" t="s">
        <v>607</v>
      </c>
      <c r="B574" s="2" t="s">
        <v>9</v>
      </c>
      <c r="C574" s="2" t="s">
        <v>13</v>
      </c>
      <c r="D574" s="3">
        <v>47.18</v>
      </c>
      <c r="E574" s="11">
        <v>3</v>
      </c>
      <c r="F574" s="9">
        <v>0</v>
      </c>
      <c r="G574" s="2">
        <v>4</v>
      </c>
      <c r="H57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74" s="19">
        <f>Clients[[#This Row],[Facture_Mensuelle]]*Clients[[#This Row],[Remise]]</f>
        <v>0</v>
      </c>
    </row>
    <row r="575" spans="1:9" x14ac:dyDescent="0.25">
      <c r="A575" s="2" t="s">
        <v>608</v>
      </c>
      <c r="B575" s="2" t="s">
        <v>12</v>
      </c>
      <c r="C575" s="2" t="s">
        <v>10</v>
      </c>
      <c r="D575" s="3">
        <v>95.74</v>
      </c>
      <c r="E575" s="11">
        <v>5</v>
      </c>
      <c r="F575" s="9">
        <v>6</v>
      </c>
      <c r="G575" s="2">
        <v>1</v>
      </c>
      <c r="H57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75" s="19">
        <f>Clients[[#This Row],[Facture_Mensuelle]]*Clients[[#This Row],[Remise]]</f>
        <v>43.082999999999998</v>
      </c>
    </row>
    <row r="576" spans="1:9" x14ac:dyDescent="0.25">
      <c r="A576" s="2" t="s">
        <v>609</v>
      </c>
      <c r="B576" s="2" t="s">
        <v>62</v>
      </c>
      <c r="C576" s="2" t="s">
        <v>13</v>
      </c>
      <c r="D576" s="3">
        <v>13.41</v>
      </c>
      <c r="E576" s="11">
        <v>5</v>
      </c>
      <c r="F576" s="9">
        <v>3</v>
      </c>
      <c r="G576" s="2">
        <v>5</v>
      </c>
      <c r="H57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76" s="19">
        <f>Clients[[#This Row],[Facture_Mensuelle]]*Clients[[#This Row],[Remise]]</f>
        <v>0</v>
      </c>
    </row>
    <row r="577" spans="1:9" x14ac:dyDescent="0.25">
      <c r="A577" s="2" t="s">
        <v>610</v>
      </c>
      <c r="B577" s="2" t="s">
        <v>97</v>
      </c>
      <c r="C577" s="2" t="s">
        <v>10</v>
      </c>
      <c r="D577" s="3">
        <v>50.45</v>
      </c>
      <c r="E577" s="11">
        <v>4</v>
      </c>
      <c r="F577" s="9">
        <v>6</v>
      </c>
      <c r="G577" s="2">
        <v>3</v>
      </c>
      <c r="H57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77" s="19">
        <f>Clients[[#This Row],[Facture_Mensuelle]]*Clients[[#This Row],[Remise]]</f>
        <v>22.702500000000001</v>
      </c>
    </row>
    <row r="578" spans="1:9" x14ac:dyDescent="0.25">
      <c r="A578" s="2" t="s">
        <v>611</v>
      </c>
      <c r="B578" s="2" t="s">
        <v>15</v>
      </c>
      <c r="C578" s="2" t="s">
        <v>7</v>
      </c>
      <c r="D578" s="3">
        <v>71.2</v>
      </c>
      <c r="E578" s="11">
        <v>6</v>
      </c>
      <c r="F578" s="9">
        <v>1</v>
      </c>
      <c r="G578" s="2">
        <v>4</v>
      </c>
      <c r="H57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78" s="19">
        <f>Clients[[#This Row],[Facture_Mensuelle]]*Clients[[#This Row],[Remise]]</f>
        <v>0</v>
      </c>
    </row>
    <row r="579" spans="1:9" x14ac:dyDescent="0.25">
      <c r="A579" s="2" t="s">
        <v>612</v>
      </c>
      <c r="B579" s="2" t="s">
        <v>105</v>
      </c>
      <c r="C579" s="2" t="s">
        <v>7</v>
      </c>
      <c r="D579" s="3">
        <v>13.76</v>
      </c>
      <c r="E579" s="11">
        <v>9</v>
      </c>
      <c r="F579" s="9">
        <v>5</v>
      </c>
      <c r="G579" s="2">
        <v>4</v>
      </c>
      <c r="H57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79" s="19">
        <f>Clients[[#This Row],[Facture_Mensuelle]]*Clients[[#This Row],[Remise]]</f>
        <v>6.1920000000000002</v>
      </c>
    </row>
    <row r="580" spans="1:9" x14ac:dyDescent="0.25">
      <c r="A580" s="2" t="s">
        <v>613</v>
      </c>
      <c r="B580" s="2" t="s">
        <v>38</v>
      </c>
      <c r="C580" s="2" t="s">
        <v>7</v>
      </c>
      <c r="D580" s="3">
        <v>20.399999999999999</v>
      </c>
      <c r="E580" s="11">
        <v>1</v>
      </c>
      <c r="F580" s="9">
        <v>1</v>
      </c>
      <c r="G580" s="2">
        <v>2</v>
      </c>
      <c r="H58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80" s="19">
        <f>Clients[[#This Row],[Facture_Mensuelle]]*Clients[[#This Row],[Remise]]</f>
        <v>0</v>
      </c>
    </row>
    <row r="581" spans="1:9" x14ac:dyDescent="0.25">
      <c r="A581" s="2" t="s">
        <v>614</v>
      </c>
      <c r="B581" s="2" t="s">
        <v>28</v>
      </c>
      <c r="C581" s="2" t="s">
        <v>10</v>
      </c>
      <c r="D581" s="3">
        <v>84.95</v>
      </c>
      <c r="E581" s="11">
        <v>1</v>
      </c>
      <c r="F581" s="9">
        <v>7</v>
      </c>
      <c r="G581" s="2">
        <v>2</v>
      </c>
      <c r="H58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81" s="19">
        <f>Clients[[#This Row],[Facture_Mensuelle]]*Clients[[#This Row],[Remise]]</f>
        <v>38.227499999999999</v>
      </c>
    </row>
    <row r="582" spans="1:9" x14ac:dyDescent="0.25">
      <c r="A582" s="2" t="s">
        <v>615</v>
      </c>
      <c r="B582" s="2" t="s">
        <v>44</v>
      </c>
      <c r="C582" s="2" t="s">
        <v>10</v>
      </c>
      <c r="D582" s="3">
        <v>26.63</v>
      </c>
      <c r="E582" s="11">
        <v>8</v>
      </c>
      <c r="F582" s="9">
        <v>2</v>
      </c>
      <c r="G582" s="2">
        <v>3</v>
      </c>
      <c r="H58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582" s="19">
        <f>Clients[[#This Row],[Facture_Mensuelle]]*Clients[[#This Row],[Remise]]</f>
        <v>2.6630000000000003</v>
      </c>
    </row>
    <row r="583" spans="1:9" x14ac:dyDescent="0.25">
      <c r="A583" s="2" t="s">
        <v>616</v>
      </c>
      <c r="B583" s="2" t="s">
        <v>44</v>
      </c>
      <c r="C583" s="2" t="s">
        <v>19</v>
      </c>
      <c r="D583" s="3">
        <v>58.1</v>
      </c>
      <c r="E583" s="11">
        <v>7</v>
      </c>
      <c r="F583" s="9">
        <v>6</v>
      </c>
      <c r="G583" s="2">
        <v>3</v>
      </c>
      <c r="H58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83" s="19">
        <f>Clients[[#This Row],[Facture_Mensuelle]]*Clients[[#This Row],[Remise]]</f>
        <v>26.145</v>
      </c>
    </row>
    <row r="584" spans="1:9" x14ac:dyDescent="0.25">
      <c r="A584" s="2" t="s">
        <v>617</v>
      </c>
      <c r="B584" s="2" t="s">
        <v>18</v>
      </c>
      <c r="C584" s="2" t="s">
        <v>10</v>
      </c>
      <c r="D584" s="3">
        <v>63.74</v>
      </c>
      <c r="E584" s="11">
        <v>4</v>
      </c>
      <c r="F584" s="9">
        <v>4</v>
      </c>
      <c r="G584" s="2">
        <v>4</v>
      </c>
      <c r="H58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84" s="19">
        <f>Clients[[#This Row],[Facture_Mensuelle]]*Clients[[#This Row],[Remise]]</f>
        <v>28.683</v>
      </c>
    </row>
    <row r="585" spans="1:9" x14ac:dyDescent="0.25">
      <c r="A585" s="2" t="s">
        <v>618</v>
      </c>
      <c r="B585" s="2" t="s">
        <v>46</v>
      </c>
      <c r="C585" s="2" t="s">
        <v>10</v>
      </c>
      <c r="D585" s="3">
        <v>54.58</v>
      </c>
      <c r="E585" s="11">
        <v>6</v>
      </c>
      <c r="F585" s="9">
        <v>5</v>
      </c>
      <c r="G585" s="2">
        <v>1</v>
      </c>
      <c r="H58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85" s="19">
        <f>Clients[[#This Row],[Facture_Mensuelle]]*Clients[[#This Row],[Remise]]</f>
        <v>24.561</v>
      </c>
    </row>
    <row r="586" spans="1:9" x14ac:dyDescent="0.25">
      <c r="A586" s="2" t="s">
        <v>619</v>
      </c>
      <c r="B586" s="2" t="s">
        <v>18</v>
      </c>
      <c r="C586" s="2" t="s">
        <v>19</v>
      </c>
      <c r="D586" s="3">
        <v>34.770000000000003</v>
      </c>
      <c r="E586" s="11">
        <v>6</v>
      </c>
      <c r="F586" s="9">
        <v>8</v>
      </c>
      <c r="G586" s="2">
        <v>0</v>
      </c>
      <c r="H58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86" s="19">
        <f>Clients[[#This Row],[Facture_Mensuelle]]*Clients[[#This Row],[Remise]]</f>
        <v>15.646500000000001</v>
      </c>
    </row>
    <row r="587" spans="1:9" x14ac:dyDescent="0.25">
      <c r="A587" s="2" t="s">
        <v>620</v>
      </c>
      <c r="B587" s="2" t="s">
        <v>44</v>
      </c>
      <c r="C587" s="2" t="s">
        <v>13</v>
      </c>
      <c r="D587" s="3">
        <v>50.39</v>
      </c>
      <c r="E587" s="11">
        <v>5</v>
      </c>
      <c r="F587" s="9">
        <v>5</v>
      </c>
      <c r="G587" s="2">
        <v>5</v>
      </c>
      <c r="H58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87" s="19">
        <f>Clients[[#This Row],[Facture_Mensuelle]]*Clients[[#This Row],[Remise]]</f>
        <v>22.6755</v>
      </c>
    </row>
    <row r="588" spans="1:9" x14ac:dyDescent="0.25">
      <c r="A588" s="2" t="s">
        <v>621</v>
      </c>
      <c r="B588" s="2" t="s">
        <v>30</v>
      </c>
      <c r="C588" s="2" t="s">
        <v>19</v>
      </c>
      <c r="D588" s="3">
        <v>90.05</v>
      </c>
      <c r="E588" s="11">
        <v>9</v>
      </c>
      <c r="F588" s="9">
        <v>1</v>
      </c>
      <c r="G588" s="2">
        <v>2</v>
      </c>
      <c r="H58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88" s="19">
        <f>Clients[[#This Row],[Facture_Mensuelle]]*Clients[[#This Row],[Remise]]</f>
        <v>0</v>
      </c>
    </row>
    <row r="589" spans="1:9" x14ac:dyDescent="0.25">
      <c r="A589" s="2" t="s">
        <v>622</v>
      </c>
      <c r="B589" s="2" t="s">
        <v>6</v>
      </c>
      <c r="C589" s="2" t="s">
        <v>7</v>
      </c>
      <c r="D589" s="3">
        <v>22.03</v>
      </c>
      <c r="E589" s="11">
        <v>8</v>
      </c>
      <c r="F589" s="9">
        <v>0</v>
      </c>
      <c r="G589" s="2">
        <v>3</v>
      </c>
      <c r="H58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89" s="19">
        <f>Clients[[#This Row],[Facture_Mensuelle]]*Clients[[#This Row],[Remise]]</f>
        <v>0</v>
      </c>
    </row>
    <row r="590" spans="1:9" x14ac:dyDescent="0.25">
      <c r="A590" s="2" t="s">
        <v>623</v>
      </c>
      <c r="B590" s="2" t="s">
        <v>6</v>
      </c>
      <c r="C590" s="2" t="s">
        <v>10</v>
      </c>
      <c r="D590" s="3">
        <v>52.26</v>
      </c>
      <c r="E590" s="11">
        <v>7</v>
      </c>
      <c r="F590" s="9">
        <v>4</v>
      </c>
      <c r="G590" s="2">
        <v>1</v>
      </c>
      <c r="H59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90" s="19">
        <f>Clients[[#This Row],[Facture_Mensuelle]]*Clients[[#This Row],[Remise]]</f>
        <v>23.516999999999999</v>
      </c>
    </row>
    <row r="591" spans="1:9" x14ac:dyDescent="0.25">
      <c r="A591" s="2" t="s">
        <v>624</v>
      </c>
      <c r="B591" s="2" t="s">
        <v>24</v>
      </c>
      <c r="C591" s="2" t="s">
        <v>7</v>
      </c>
      <c r="D591" s="3">
        <v>52.07</v>
      </c>
      <c r="E591" s="11">
        <v>10</v>
      </c>
      <c r="F591" s="9">
        <v>5</v>
      </c>
      <c r="G591" s="2">
        <v>1</v>
      </c>
      <c r="H59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91" s="19">
        <f>Clients[[#This Row],[Facture_Mensuelle]]*Clients[[#This Row],[Remise]]</f>
        <v>23.4315</v>
      </c>
    </row>
    <row r="592" spans="1:9" x14ac:dyDescent="0.25">
      <c r="A592" s="2" t="s">
        <v>625</v>
      </c>
      <c r="B592" s="2" t="s">
        <v>156</v>
      </c>
      <c r="C592" s="2" t="s">
        <v>10</v>
      </c>
      <c r="D592" s="3">
        <v>64.27</v>
      </c>
      <c r="E592" s="11">
        <v>6</v>
      </c>
      <c r="F592" s="9">
        <v>4</v>
      </c>
      <c r="G592" s="2">
        <v>2</v>
      </c>
      <c r="H59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92" s="19">
        <f>Clients[[#This Row],[Facture_Mensuelle]]*Clients[[#This Row],[Remise]]</f>
        <v>28.921499999999998</v>
      </c>
    </row>
    <row r="593" spans="1:9" x14ac:dyDescent="0.25">
      <c r="A593" s="2" t="s">
        <v>626</v>
      </c>
      <c r="B593" s="2" t="s">
        <v>6</v>
      </c>
      <c r="C593" s="2" t="s">
        <v>7</v>
      </c>
      <c r="D593" s="3">
        <v>33.28</v>
      </c>
      <c r="E593" s="11">
        <v>10</v>
      </c>
      <c r="F593" s="9">
        <v>3</v>
      </c>
      <c r="G593" s="2">
        <v>4</v>
      </c>
      <c r="H59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93" s="19">
        <f>Clients[[#This Row],[Facture_Mensuelle]]*Clients[[#This Row],[Remise]]</f>
        <v>0</v>
      </c>
    </row>
    <row r="594" spans="1:9" x14ac:dyDescent="0.25">
      <c r="A594" s="2" t="s">
        <v>627</v>
      </c>
      <c r="B594" s="2" t="s">
        <v>32</v>
      </c>
      <c r="C594" s="2" t="s">
        <v>13</v>
      </c>
      <c r="D594" s="3">
        <v>33.96</v>
      </c>
      <c r="E594" s="11">
        <v>1</v>
      </c>
      <c r="F594" s="9">
        <v>4</v>
      </c>
      <c r="G594" s="2">
        <v>4</v>
      </c>
      <c r="H59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94" s="19">
        <f>Clients[[#This Row],[Facture_Mensuelle]]*Clients[[#This Row],[Remise]]</f>
        <v>15.282</v>
      </c>
    </row>
    <row r="595" spans="1:9" x14ac:dyDescent="0.25">
      <c r="A595" s="2" t="s">
        <v>628</v>
      </c>
      <c r="B595" s="2" t="s">
        <v>32</v>
      </c>
      <c r="C595" s="2" t="s">
        <v>7</v>
      </c>
      <c r="D595" s="3">
        <v>67.650000000000006</v>
      </c>
      <c r="E595" s="11">
        <v>4</v>
      </c>
      <c r="F595" s="9">
        <v>3</v>
      </c>
      <c r="G595" s="2">
        <v>0</v>
      </c>
      <c r="H59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95" s="19">
        <f>Clients[[#This Row],[Facture_Mensuelle]]*Clients[[#This Row],[Remise]]</f>
        <v>0</v>
      </c>
    </row>
    <row r="596" spans="1:9" x14ac:dyDescent="0.25">
      <c r="A596" s="2" t="s">
        <v>629</v>
      </c>
      <c r="B596" s="2" t="s">
        <v>28</v>
      </c>
      <c r="C596" s="2" t="s">
        <v>19</v>
      </c>
      <c r="D596" s="3">
        <v>74.42</v>
      </c>
      <c r="E596" s="11">
        <v>4</v>
      </c>
      <c r="F596" s="9">
        <v>6</v>
      </c>
      <c r="G596" s="2">
        <v>0</v>
      </c>
      <c r="H59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96" s="19">
        <f>Clients[[#This Row],[Facture_Mensuelle]]*Clients[[#This Row],[Remise]]</f>
        <v>33.489000000000004</v>
      </c>
    </row>
    <row r="597" spans="1:9" x14ac:dyDescent="0.25">
      <c r="A597" s="2" t="s">
        <v>630</v>
      </c>
      <c r="B597" s="2" t="s">
        <v>12</v>
      </c>
      <c r="C597" s="2" t="s">
        <v>19</v>
      </c>
      <c r="D597" s="3">
        <v>18.95</v>
      </c>
      <c r="E597" s="11">
        <v>4</v>
      </c>
      <c r="F597" s="9">
        <v>4</v>
      </c>
      <c r="G597" s="2">
        <v>4</v>
      </c>
      <c r="H59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97" s="19">
        <f>Clients[[#This Row],[Facture_Mensuelle]]*Clients[[#This Row],[Remise]]</f>
        <v>8.5274999999999999</v>
      </c>
    </row>
    <row r="598" spans="1:9" x14ac:dyDescent="0.25">
      <c r="A598" s="2" t="s">
        <v>631</v>
      </c>
      <c r="B598" s="2" t="s">
        <v>9</v>
      </c>
      <c r="C598" s="2" t="s">
        <v>13</v>
      </c>
      <c r="D598" s="3">
        <v>56.88</v>
      </c>
      <c r="E598" s="11">
        <v>5</v>
      </c>
      <c r="F598" s="9">
        <v>7</v>
      </c>
      <c r="G598" s="2">
        <v>4</v>
      </c>
      <c r="H59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598" s="19">
        <f>Clients[[#This Row],[Facture_Mensuelle]]*Clients[[#This Row],[Remise]]</f>
        <v>25.596</v>
      </c>
    </row>
    <row r="599" spans="1:9" x14ac:dyDescent="0.25">
      <c r="A599" s="2" t="s">
        <v>632</v>
      </c>
      <c r="B599" s="2" t="s">
        <v>32</v>
      </c>
      <c r="C599" s="2" t="s">
        <v>7</v>
      </c>
      <c r="D599" s="3">
        <v>26.4</v>
      </c>
      <c r="E599" s="11">
        <v>3</v>
      </c>
      <c r="F599" s="9">
        <v>1</v>
      </c>
      <c r="G599" s="2">
        <v>3</v>
      </c>
      <c r="H59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599" s="19">
        <f>Clients[[#This Row],[Facture_Mensuelle]]*Clients[[#This Row],[Remise]]</f>
        <v>0</v>
      </c>
    </row>
    <row r="600" spans="1:9" x14ac:dyDescent="0.25">
      <c r="A600" s="2" t="s">
        <v>633</v>
      </c>
      <c r="B600" s="2" t="s">
        <v>22</v>
      </c>
      <c r="C600" s="2" t="s">
        <v>10</v>
      </c>
      <c r="D600" s="3">
        <v>40.06</v>
      </c>
      <c r="E600" s="11">
        <v>2</v>
      </c>
      <c r="F600" s="9">
        <v>6</v>
      </c>
      <c r="G600" s="2">
        <v>5</v>
      </c>
      <c r="H60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00" s="19">
        <f>Clients[[#This Row],[Facture_Mensuelle]]*Clients[[#This Row],[Remise]]</f>
        <v>18.027000000000001</v>
      </c>
    </row>
    <row r="601" spans="1:9" x14ac:dyDescent="0.25">
      <c r="A601" s="2" t="s">
        <v>634</v>
      </c>
      <c r="B601" s="2" t="s">
        <v>62</v>
      </c>
      <c r="C601" s="2" t="s">
        <v>13</v>
      </c>
      <c r="D601" s="3">
        <v>70.81</v>
      </c>
      <c r="E601" s="11">
        <v>2</v>
      </c>
      <c r="F601" s="9">
        <v>8</v>
      </c>
      <c r="G601" s="2">
        <v>2</v>
      </c>
      <c r="H60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01" s="19">
        <f>Clients[[#This Row],[Facture_Mensuelle]]*Clients[[#This Row],[Remise]]</f>
        <v>31.864500000000003</v>
      </c>
    </row>
    <row r="602" spans="1:9" x14ac:dyDescent="0.25">
      <c r="A602" s="2" t="s">
        <v>635</v>
      </c>
      <c r="B602" s="2" t="s">
        <v>18</v>
      </c>
      <c r="C602" s="2" t="s">
        <v>10</v>
      </c>
      <c r="D602" s="3">
        <v>27.04</v>
      </c>
      <c r="E602" s="11">
        <v>6</v>
      </c>
      <c r="F602" s="9">
        <v>1</v>
      </c>
      <c r="G602" s="2">
        <v>1</v>
      </c>
      <c r="H60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02" s="19">
        <f>Clients[[#This Row],[Facture_Mensuelle]]*Clients[[#This Row],[Remise]]</f>
        <v>2.7040000000000002</v>
      </c>
    </row>
    <row r="603" spans="1:9" x14ac:dyDescent="0.25">
      <c r="A603" s="2" t="s">
        <v>636</v>
      </c>
      <c r="B603" s="2" t="s">
        <v>34</v>
      </c>
      <c r="C603" s="2" t="s">
        <v>10</v>
      </c>
      <c r="D603" s="3">
        <v>71.86</v>
      </c>
      <c r="E603" s="11">
        <v>2</v>
      </c>
      <c r="F603" s="9">
        <v>8</v>
      </c>
      <c r="G603" s="2">
        <v>3</v>
      </c>
      <c r="H60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03" s="19">
        <f>Clients[[#This Row],[Facture_Mensuelle]]*Clients[[#This Row],[Remise]]</f>
        <v>32.337000000000003</v>
      </c>
    </row>
    <row r="604" spans="1:9" x14ac:dyDescent="0.25">
      <c r="A604" s="2" t="s">
        <v>637</v>
      </c>
      <c r="B604" s="2" t="s">
        <v>18</v>
      </c>
      <c r="C604" s="2" t="s">
        <v>13</v>
      </c>
      <c r="D604" s="3">
        <v>84.9</v>
      </c>
      <c r="E604" s="11">
        <v>2</v>
      </c>
      <c r="F604" s="9">
        <v>0</v>
      </c>
      <c r="G604" s="2">
        <v>3</v>
      </c>
      <c r="H60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04" s="19">
        <f>Clients[[#This Row],[Facture_Mensuelle]]*Clients[[#This Row],[Remise]]</f>
        <v>0</v>
      </c>
    </row>
    <row r="605" spans="1:9" x14ac:dyDescent="0.25">
      <c r="A605" s="2" t="s">
        <v>638</v>
      </c>
      <c r="B605" s="2" t="s">
        <v>9</v>
      </c>
      <c r="C605" s="2" t="s">
        <v>19</v>
      </c>
      <c r="D605" s="3">
        <v>16.29</v>
      </c>
      <c r="E605" s="11">
        <v>1</v>
      </c>
      <c r="F605" s="9">
        <v>3</v>
      </c>
      <c r="G605" s="2">
        <v>4</v>
      </c>
      <c r="H60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05" s="19">
        <f>Clients[[#This Row],[Facture_Mensuelle]]*Clients[[#This Row],[Remise]]</f>
        <v>7.3304999999999998</v>
      </c>
    </row>
    <row r="606" spans="1:9" x14ac:dyDescent="0.25">
      <c r="A606" s="2" t="s">
        <v>639</v>
      </c>
      <c r="B606" s="2" t="s">
        <v>105</v>
      </c>
      <c r="C606" s="2" t="s">
        <v>19</v>
      </c>
      <c r="D606" s="3">
        <v>99.93</v>
      </c>
      <c r="E606" s="11">
        <v>0</v>
      </c>
      <c r="F606" s="9">
        <v>3</v>
      </c>
      <c r="G606" s="2">
        <v>0</v>
      </c>
      <c r="H60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06" s="19">
        <f>Clients[[#This Row],[Facture_Mensuelle]]*Clients[[#This Row],[Remise]]</f>
        <v>44.968500000000006</v>
      </c>
    </row>
    <row r="607" spans="1:9" x14ac:dyDescent="0.25">
      <c r="A607" s="2" t="s">
        <v>640</v>
      </c>
      <c r="B607" s="2" t="s">
        <v>156</v>
      </c>
      <c r="C607" s="2" t="s">
        <v>7</v>
      </c>
      <c r="D607" s="3">
        <v>27.93</v>
      </c>
      <c r="E607" s="11">
        <v>2</v>
      </c>
      <c r="F607" s="9">
        <v>0</v>
      </c>
      <c r="G607" s="2">
        <v>0</v>
      </c>
      <c r="H60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07" s="19">
        <f>Clients[[#This Row],[Facture_Mensuelle]]*Clients[[#This Row],[Remise]]</f>
        <v>0</v>
      </c>
    </row>
    <row r="608" spans="1:9" x14ac:dyDescent="0.25">
      <c r="A608" s="2" t="s">
        <v>641</v>
      </c>
      <c r="B608" s="2" t="s">
        <v>59</v>
      </c>
      <c r="C608" s="2" t="s">
        <v>10</v>
      </c>
      <c r="D608" s="3">
        <v>88.84</v>
      </c>
      <c r="E608" s="11">
        <v>3</v>
      </c>
      <c r="F608" s="9">
        <v>1</v>
      </c>
      <c r="G608" s="2">
        <v>0</v>
      </c>
      <c r="H60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08" s="19">
        <f>Clients[[#This Row],[Facture_Mensuelle]]*Clients[[#This Row],[Remise]]</f>
        <v>8.8840000000000003</v>
      </c>
    </row>
    <row r="609" spans="1:9" x14ac:dyDescent="0.25">
      <c r="A609" s="2" t="s">
        <v>642</v>
      </c>
      <c r="B609" s="2" t="s">
        <v>22</v>
      </c>
      <c r="C609" s="2" t="s">
        <v>19</v>
      </c>
      <c r="D609" s="3">
        <v>67.77</v>
      </c>
      <c r="E609" s="11">
        <v>10</v>
      </c>
      <c r="F609" s="9">
        <v>7</v>
      </c>
      <c r="G609" s="2">
        <v>4</v>
      </c>
      <c r="H60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09" s="19">
        <f>Clients[[#This Row],[Facture_Mensuelle]]*Clients[[#This Row],[Remise]]</f>
        <v>30.496499999999997</v>
      </c>
    </row>
    <row r="610" spans="1:9" x14ac:dyDescent="0.25">
      <c r="A610" s="2" t="s">
        <v>643</v>
      </c>
      <c r="B610" s="2" t="s">
        <v>72</v>
      </c>
      <c r="C610" s="2" t="s">
        <v>7</v>
      </c>
      <c r="D610" s="3">
        <v>92.8</v>
      </c>
      <c r="E610" s="11">
        <v>4</v>
      </c>
      <c r="F610" s="9">
        <v>4</v>
      </c>
      <c r="G610" s="2">
        <v>5</v>
      </c>
      <c r="H61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0" s="19">
        <f>Clients[[#This Row],[Facture_Mensuelle]]*Clients[[#This Row],[Remise]]</f>
        <v>41.76</v>
      </c>
    </row>
    <row r="611" spans="1:9" x14ac:dyDescent="0.25">
      <c r="A611" s="2" t="s">
        <v>644</v>
      </c>
      <c r="B611" s="2" t="s">
        <v>65</v>
      </c>
      <c r="C611" s="2" t="s">
        <v>19</v>
      </c>
      <c r="D611" s="3">
        <v>87.37</v>
      </c>
      <c r="E611" s="11">
        <v>1</v>
      </c>
      <c r="F611" s="9">
        <v>3</v>
      </c>
      <c r="G611" s="2">
        <v>3</v>
      </c>
      <c r="H61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1" s="19">
        <f>Clients[[#This Row],[Facture_Mensuelle]]*Clients[[#This Row],[Remise]]</f>
        <v>39.316500000000005</v>
      </c>
    </row>
    <row r="612" spans="1:9" x14ac:dyDescent="0.25">
      <c r="A612" s="2" t="s">
        <v>645</v>
      </c>
      <c r="B612" s="2" t="s">
        <v>46</v>
      </c>
      <c r="C612" s="2" t="s">
        <v>19</v>
      </c>
      <c r="D612" s="3">
        <v>84.93</v>
      </c>
      <c r="E612" s="11">
        <v>4</v>
      </c>
      <c r="F612" s="9">
        <v>8</v>
      </c>
      <c r="G612" s="2">
        <v>2</v>
      </c>
      <c r="H61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2" s="19">
        <f>Clients[[#This Row],[Facture_Mensuelle]]*Clients[[#This Row],[Remise]]</f>
        <v>38.218500000000006</v>
      </c>
    </row>
    <row r="613" spans="1:9" x14ac:dyDescent="0.25">
      <c r="A613" s="2" t="s">
        <v>646</v>
      </c>
      <c r="B613" s="2" t="s">
        <v>15</v>
      </c>
      <c r="C613" s="2" t="s">
        <v>13</v>
      </c>
      <c r="D613" s="3">
        <v>96.23</v>
      </c>
      <c r="E613" s="11">
        <v>8</v>
      </c>
      <c r="F613" s="9">
        <v>2</v>
      </c>
      <c r="G613" s="2">
        <v>2</v>
      </c>
      <c r="H61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13" s="19">
        <f>Clients[[#This Row],[Facture_Mensuelle]]*Clients[[#This Row],[Remise]]</f>
        <v>0</v>
      </c>
    </row>
    <row r="614" spans="1:9" x14ac:dyDescent="0.25">
      <c r="A614" s="2" t="s">
        <v>647</v>
      </c>
      <c r="B614" s="2" t="s">
        <v>72</v>
      </c>
      <c r="C614" s="2" t="s">
        <v>19</v>
      </c>
      <c r="D614" s="3">
        <v>72.010000000000005</v>
      </c>
      <c r="E614" s="11">
        <v>2</v>
      </c>
      <c r="F614" s="9">
        <v>2</v>
      </c>
      <c r="G614" s="2">
        <v>4</v>
      </c>
      <c r="H61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4" s="19">
        <f>Clients[[#This Row],[Facture_Mensuelle]]*Clients[[#This Row],[Remise]]</f>
        <v>32.404500000000006</v>
      </c>
    </row>
    <row r="615" spans="1:9" x14ac:dyDescent="0.25">
      <c r="A615" s="2" t="s">
        <v>648</v>
      </c>
      <c r="B615" s="2" t="s">
        <v>6</v>
      </c>
      <c r="C615" s="2" t="s">
        <v>13</v>
      </c>
      <c r="D615" s="3">
        <v>24.03</v>
      </c>
      <c r="E615" s="11">
        <v>6</v>
      </c>
      <c r="F615" s="9">
        <v>6</v>
      </c>
      <c r="G615" s="2">
        <v>1</v>
      </c>
      <c r="H61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5" s="19">
        <f>Clients[[#This Row],[Facture_Mensuelle]]*Clients[[#This Row],[Remise]]</f>
        <v>10.813500000000001</v>
      </c>
    </row>
    <row r="616" spans="1:9" x14ac:dyDescent="0.25">
      <c r="A616" s="2" t="s">
        <v>649</v>
      </c>
      <c r="B616" s="2" t="s">
        <v>32</v>
      </c>
      <c r="C616" s="2" t="s">
        <v>7</v>
      </c>
      <c r="D616" s="3">
        <v>23.01</v>
      </c>
      <c r="E616" s="11">
        <v>5</v>
      </c>
      <c r="F616" s="9">
        <v>6</v>
      </c>
      <c r="G616" s="2">
        <v>2</v>
      </c>
      <c r="H61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6" s="19">
        <f>Clients[[#This Row],[Facture_Mensuelle]]*Clients[[#This Row],[Remise]]</f>
        <v>10.354500000000002</v>
      </c>
    </row>
    <row r="617" spans="1:9" x14ac:dyDescent="0.25">
      <c r="A617" s="2" t="s">
        <v>650</v>
      </c>
      <c r="B617" s="2" t="s">
        <v>9</v>
      </c>
      <c r="C617" s="2" t="s">
        <v>13</v>
      </c>
      <c r="D617" s="3">
        <v>82.94</v>
      </c>
      <c r="E617" s="11">
        <v>6</v>
      </c>
      <c r="F617" s="9">
        <v>6</v>
      </c>
      <c r="G617" s="2">
        <v>3</v>
      </c>
      <c r="H61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7" s="19">
        <f>Clients[[#This Row],[Facture_Mensuelle]]*Clients[[#This Row],[Remise]]</f>
        <v>37.323</v>
      </c>
    </row>
    <row r="618" spans="1:9" x14ac:dyDescent="0.25">
      <c r="A618" s="2" t="s">
        <v>651</v>
      </c>
      <c r="B618" s="2" t="s">
        <v>105</v>
      </c>
      <c r="C618" s="2" t="s">
        <v>7</v>
      </c>
      <c r="D618" s="3">
        <v>45.16</v>
      </c>
      <c r="E618" s="11">
        <v>6</v>
      </c>
      <c r="F618" s="9">
        <v>5</v>
      </c>
      <c r="G618" s="2">
        <v>5</v>
      </c>
      <c r="H61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8" s="19">
        <f>Clients[[#This Row],[Facture_Mensuelle]]*Clients[[#This Row],[Remise]]</f>
        <v>20.321999999999999</v>
      </c>
    </row>
    <row r="619" spans="1:9" x14ac:dyDescent="0.25">
      <c r="A619" s="2" t="s">
        <v>652</v>
      </c>
      <c r="B619" s="2" t="s">
        <v>6</v>
      </c>
      <c r="C619" s="2" t="s">
        <v>19</v>
      </c>
      <c r="D619" s="3">
        <v>66.94</v>
      </c>
      <c r="E619" s="11">
        <v>3</v>
      </c>
      <c r="F619" s="9">
        <v>0</v>
      </c>
      <c r="G619" s="2">
        <v>5</v>
      </c>
      <c r="H61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19" s="19">
        <f>Clients[[#This Row],[Facture_Mensuelle]]*Clients[[#This Row],[Remise]]</f>
        <v>30.123000000000001</v>
      </c>
    </row>
    <row r="620" spans="1:9" x14ac:dyDescent="0.25">
      <c r="A620" s="2" t="s">
        <v>653</v>
      </c>
      <c r="B620" s="2" t="s">
        <v>12</v>
      </c>
      <c r="C620" s="2" t="s">
        <v>7</v>
      </c>
      <c r="D620" s="3">
        <v>34.64</v>
      </c>
      <c r="E620" s="11">
        <v>8</v>
      </c>
      <c r="F620" s="9">
        <v>2</v>
      </c>
      <c r="G620" s="2">
        <v>2</v>
      </c>
      <c r="H62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20" s="19">
        <f>Clients[[#This Row],[Facture_Mensuelle]]*Clients[[#This Row],[Remise]]</f>
        <v>0</v>
      </c>
    </row>
    <row r="621" spans="1:9" x14ac:dyDescent="0.25">
      <c r="A621" s="2" t="s">
        <v>654</v>
      </c>
      <c r="B621" s="2" t="s">
        <v>46</v>
      </c>
      <c r="C621" s="2" t="s">
        <v>19</v>
      </c>
      <c r="D621" s="3">
        <v>26.8</v>
      </c>
      <c r="E621" s="11">
        <v>5</v>
      </c>
      <c r="F621" s="9">
        <v>7</v>
      </c>
      <c r="G621" s="2">
        <v>4</v>
      </c>
      <c r="H62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21" s="19">
        <f>Clients[[#This Row],[Facture_Mensuelle]]*Clients[[#This Row],[Remise]]</f>
        <v>12.06</v>
      </c>
    </row>
    <row r="622" spans="1:9" x14ac:dyDescent="0.25">
      <c r="A622" s="2" t="s">
        <v>655</v>
      </c>
      <c r="B622" s="2" t="s">
        <v>40</v>
      </c>
      <c r="C622" s="2" t="s">
        <v>13</v>
      </c>
      <c r="D622" s="3">
        <v>69.849999999999994</v>
      </c>
      <c r="E622" s="11">
        <v>6</v>
      </c>
      <c r="F622" s="9">
        <v>3</v>
      </c>
      <c r="G622" s="2">
        <v>0</v>
      </c>
      <c r="H62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22" s="19">
        <f>Clients[[#This Row],[Facture_Mensuelle]]*Clients[[#This Row],[Remise]]</f>
        <v>0</v>
      </c>
    </row>
    <row r="623" spans="1:9" x14ac:dyDescent="0.25">
      <c r="A623" s="2" t="s">
        <v>656</v>
      </c>
      <c r="B623" s="2" t="s">
        <v>65</v>
      </c>
      <c r="C623" s="2" t="s">
        <v>19</v>
      </c>
      <c r="D623" s="3">
        <v>97.26</v>
      </c>
      <c r="E623" s="11">
        <v>0</v>
      </c>
      <c r="F623" s="9">
        <v>6</v>
      </c>
      <c r="G623" s="2">
        <v>3</v>
      </c>
      <c r="H62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23" s="19">
        <f>Clients[[#This Row],[Facture_Mensuelle]]*Clients[[#This Row],[Remise]]</f>
        <v>43.767000000000003</v>
      </c>
    </row>
    <row r="624" spans="1:9" x14ac:dyDescent="0.25">
      <c r="A624" s="2" t="s">
        <v>657</v>
      </c>
      <c r="B624" s="2" t="s">
        <v>22</v>
      </c>
      <c r="C624" s="2" t="s">
        <v>10</v>
      </c>
      <c r="D624" s="3">
        <v>58.26</v>
      </c>
      <c r="E624" s="11">
        <v>7</v>
      </c>
      <c r="F624" s="9">
        <v>8</v>
      </c>
      <c r="G624" s="2">
        <v>0</v>
      </c>
      <c r="H62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24" s="19">
        <f>Clients[[#This Row],[Facture_Mensuelle]]*Clients[[#This Row],[Remise]]</f>
        <v>26.216999999999999</v>
      </c>
    </row>
    <row r="625" spans="1:9" x14ac:dyDescent="0.25">
      <c r="A625" s="2" t="s">
        <v>658</v>
      </c>
      <c r="B625" s="2" t="s">
        <v>105</v>
      </c>
      <c r="C625" s="2" t="s">
        <v>13</v>
      </c>
      <c r="D625" s="3">
        <v>96.52</v>
      </c>
      <c r="E625" s="11">
        <v>4</v>
      </c>
      <c r="F625" s="9">
        <v>6</v>
      </c>
      <c r="G625" s="2">
        <v>1</v>
      </c>
      <c r="H62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25" s="19">
        <f>Clients[[#This Row],[Facture_Mensuelle]]*Clients[[#This Row],[Remise]]</f>
        <v>43.433999999999997</v>
      </c>
    </row>
    <row r="626" spans="1:9" x14ac:dyDescent="0.25">
      <c r="A626" s="2" t="s">
        <v>659</v>
      </c>
      <c r="B626" s="2" t="s">
        <v>34</v>
      </c>
      <c r="C626" s="2" t="s">
        <v>19</v>
      </c>
      <c r="D626" s="3">
        <v>10.58</v>
      </c>
      <c r="E626" s="11">
        <v>9</v>
      </c>
      <c r="F626" s="9">
        <v>6</v>
      </c>
      <c r="G626" s="2">
        <v>0</v>
      </c>
      <c r="H62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26" s="19">
        <f>Clients[[#This Row],[Facture_Mensuelle]]*Clients[[#This Row],[Remise]]</f>
        <v>4.7610000000000001</v>
      </c>
    </row>
    <row r="627" spans="1:9" x14ac:dyDescent="0.25">
      <c r="A627" s="2" t="s">
        <v>660</v>
      </c>
      <c r="B627" s="2" t="s">
        <v>6</v>
      </c>
      <c r="C627" s="2" t="s">
        <v>7</v>
      </c>
      <c r="D627" s="3">
        <v>93.11</v>
      </c>
      <c r="E627" s="11">
        <v>5</v>
      </c>
      <c r="F627" s="9">
        <v>7</v>
      </c>
      <c r="G627" s="2">
        <v>3</v>
      </c>
      <c r="H62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27" s="19">
        <f>Clients[[#This Row],[Facture_Mensuelle]]*Clients[[#This Row],[Remise]]</f>
        <v>41.899500000000003</v>
      </c>
    </row>
    <row r="628" spans="1:9" x14ac:dyDescent="0.25">
      <c r="A628" s="2" t="s">
        <v>661</v>
      </c>
      <c r="B628" s="2" t="s">
        <v>18</v>
      </c>
      <c r="C628" s="2" t="s">
        <v>7</v>
      </c>
      <c r="D628" s="3">
        <v>81.38</v>
      </c>
      <c r="E628" s="11">
        <v>4</v>
      </c>
      <c r="F628" s="9">
        <v>5</v>
      </c>
      <c r="G628" s="2">
        <v>2</v>
      </c>
      <c r="H62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28" s="19">
        <f>Clients[[#This Row],[Facture_Mensuelle]]*Clients[[#This Row],[Remise]]</f>
        <v>36.621000000000002</v>
      </c>
    </row>
    <row r="629" spans="1:9" x14ac:dyDescent="0.25">
      <c r="A629" s="2" t="s">
        <v>662</v>
      </c>
      <c r="B629" s="2" t="s">
        <v>42</v>
      </c>
      <c r="C629" s="2" t="s">
        <v>7</v>
      </c>
      <c r="D629" s="3">
        <v>85.66</v>
      </c>
      <c r="E629" s="11">
        <v>5</v>
      </c>
      <c r="F629" s="9">
        <v>3</v>
      </c>
      <c r="G629" s="2">
        <v>5</v>
      </c>
      <c r="H62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29" s="19">
        <f>Clients[[#This Row],[Facture_Mensuelle]]*Clients[[#This Row],[Remise]]</f>
        <v>0</v>
      </c>
    </row>
    <row r="630" spans="1:9" x14ac:dyDescent="0.25">
      <c r="A630" s="2" t="s">
        <v>663</v>
      </c>
      <c r="B630" s="2" t="s">
        <v>6</v>
      </c>
      <c r="C630" s="2" t="s">
        <v>19</v>
      </c>
      <c r="D630" s="3">
        <v>17.440000000000001</v>
      </c>
      <c r="E630" s="11">
        <v>5</v>
      </c>
      <c r="F630" s="9">
        <v>1</v>
      </c>
      <c r="G630" s="2">
        <v>2</v>
      </c>
      <c r="H63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30" s="19">
        <f>Clients[[#This Row],[Facture_Mensuelle]]*Clients[[#This Row],[Remise]]</f>
        <v>0</v>
      </c>
    </row>
    <row r="631" spans="1:9" x14ac:dyDescent="0.25">
      <c r="A631" s="2" t="s">
        <v>664</v>
      </c>
      <c r="B631" s="2" t="s">
        <v>48</v>
      </c>
      <c r="C631" s="2" t="s">
        <v>19</v>
      </c>
      <c r="D631" s="3">
        <v>64.290000000000006</v>
      </c>
      <c r="E631" s="11">
        <v>5</v>
      </c>
      <c r="F631" s="9">
        <v>8</v>
      </c>
      <c r="G631" s="2">
        <v>4</v>
      </c>
      <c r="H63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31" s="19">
        <f>Clients[[#This Row],[Facture_Mensuelle]]*Clients[[#This Row],[Remise]]</f>
        <v>28.930500000000002</v>
      </c>
    </row>
    <row r="632" spans="1:9" x14ac:dyDescent="0.25">
      <c r="A632" s="2" t="s">
        <v>665</v>
      </c>
      <c r="B632" s="2" t="s">
        <v>22</v>
      </c>
      <c r="C632" s="2" t="s">
        <v>7</v>
      </c>
      <c r="D632" s="3">
        <v>64.39</v>
      </c>
      <c r="E632" s="11">
        <v>-4</v>
      </c>
      <c r="F632" s="9">
        <v>7</v>
      </c>
      <c r="G632" s="2">
        <v>1</v>
      </c>
      <c r="H63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32" s="19">
        <f>Clients[[#This Row],[Facture_Mensuelle]]*Clients[[#This Row],[Remise]]</f>
        <v>28.9755</v>
      </c>
    </row>
    <row r="633" spans="1:9" x14ac:dyDescent="0.25">
      <c r="A633" s="2" t="s">
        <v>666</v>
      </c>
      <c r="B633" s="2" t="s">
        <v>9</v>
      </c>
      <c r="C633" s="2" t="s">
        <v>7</v>
      </c>
      <c r="D633" s="3">
        <v>99.02</v>
      </c>
      <c r="E633" s="11">
        <v>1</v>
      </c>
      <c r="F633" s="9">
        <v>0</v>
      </c>
      <c r="G633" s="2">
        <v>3</v>
      </c>
      <c r="H63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33" s="19">
        <f>Clients[[#This Row],[Facture_Mensuelle]]*Clients[[#This Row],[Remise]]</f>
        <v>0</v>
      </c>
    </row>
    <row r="634" spans="1:9" x14ac:dyDescent="0.25">
      <c r="A634" s="2" t="s">
        <v>667</v>
      </c>
      <c r="B634" s="2" t="s">
        <v>30</v>
      </c>
      <c r="C634" s="2" t="s">
        <v>7</v>
      </c>
      <c r="D634" s="3">
        <v>87.79</v>
      </c>
      <c r="E634" s="11">
        <v>7</v>
      </c>
      <c r="F634" s="9">
        <v>6</v>
      </c>
      <c r="G634" s="2">
        <v>3</v>
      </c>
      <c r="H63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34" s="19">
        <f>Clients[[#This Row],[Facture_Mensuelle]]*Clients[[#This Row],[Remise]]</f>
        <v>39.505500000000005</v>
      </c>
    </row>
    <row r="635" spans="1:9" x14ac:dyDescent="0.25">
      <c r="A635" s="2" t="s">
        <v>668</v>
      </c>
      <c r="B635" s="2" t="s">
        <v>48</v>
      </c>
      <c r="C635" s="2" t="s">
        <v>7</v>
      </c>
      <c r="D635" s="3">
        <v>80.069999999999993</v>
      </c>
      <c r="E635" s="11">
        <v>2</v>
      </c>
      <c r="F635" s="9">
        <v>5</v>
      </c>
      <c r="G635" s="2">
        <v>1</v>
      </c>
      <c r="H63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35" s="19">
        <f>Clients[[#This Row],[Facture_Mensuelle]]*Clients[[#This Row],[Remise]]</f>
        <v>36.031500000000001</v>
      </c>
    </row>
    <row r="636" spans="1:9" x14ac:dyDescent="0.25">
      <c r="A636" s="2" t="s">
        <v>669</v>
      </c>
      <c r="B636" s="2" t="s">
        <v>46</v>
      </c>
      <c r="C636" s="2" t="s">
        <v>7</v>
      </c>
      <c r="D636" s="3">
        <v>64.39</v>
      </c>
      <c r="E636" s="11">
        <v>5</v>
      </c>
      <c r="F636" s="9">
        <v>2</v>
      </c>
      <c r="G636" s="2">
        <v>1</v>
      </c>
      <c r="H63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36" s="19">
        <f>Clients[[#This Row],[Facture_Mensuelle]]*Clients[[#This Row],[Remise]]</f>
        <v>0</v>
      </c>
    </row>
    <row r="637" spans="1:9" x14ac:dyDescent="0.25">
      <c r="A637" s="2" t="s">
        <v>670</v>
      </c>
      <c r="B637" s="2" t="s">
        <v>69</v>
      </c>
      <c r="C637" s="2" t="s">
        <v>13</v>
      </c>
      <c r="D637" s="3">
        <v>34.630000000000003</v>
      </c>
      <c r="E637" s="11">
        <v>4</v>
      </c>
      <c r="F637" s="9">
        <v>3</v>
      </c>
      <c r="G637" s="2">
        <v>2</v>
      </c>
      <c r="H63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37" s="19">
        <f>Clients[[#This Row],[Facture_Mensuelle]]*Clients[[#This Row],[Remise]]</f>
        <v>0</v>
      </c>
    </row>
    <row r="638" spans="1:9" x14ac:dyDescent="0.25">
      <c r="A638" s="2" t="s">
        <v>671</v>
      </c>
      <c r="B638" s="2" t="s">
        <v>12</v>
      </c>
      <c r="C638" s="2" t="s">
        <v>7</v>
      </c>
      <c r="D638" s="3">
        <v>90.53</v>
      </c>
      <c r="E638" s="11">
        <v>2</v>
      </c>
      <c r="F638" s="9">
        <v>3</v>
      </c>
      <c r="G638" s="2">
        <v>3</v>
      </c>
      <c r="H63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38" s="19">
        <f>Clients[[#This Row],[Facture_Mensuelle]]*Clients[[#This Row],[Remise]]</f>
        <v>0</v>
      </c>
    </row>
    <row r="639" spans="1:9" x14ac:dyDescent="0.25">
      <c r="A639" s="2" t="s">
        <v>672</v>
      </c>
      <c r="B639" s="2" t="s">
        <v>59</v>
      </c>
      <c r="C639" s="2" t="s">
        <v>7</v>
      </c>
      <c r="D639" s="3">
        <v>67.650000000000006</v>
      </c>
      <c r="E639" s="11">
        <v>5</v>
      </c>
      <c r="F639" s="9">
        <v>3</v>
      </c>
      <c r="G639" s="2">
        <v>1</v>
      </c>
      <c r="H63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39" s="19">
        <f>Clients[[#This Row],[Facture_Mensuelle]]*Clients[[#This Row],[Remise]]</f>
        <v>0</v>
      </c>
    </row>
    <row r="640" spans="1:9" x14ac:dyDescent="0.25">
      <c r="A640" s="2" t="s">
        <v>673</v>
      </c>
      <c r="B640" s="2" t="s">
        <v>9</v>
      </c>
      <c r="C640" s="2" t="s">
        <v>7</v>
      </c>
      <c r="D640" s="3">
        <v>23.19</v>
      </c>
      <c r="E640" s="11">
        <v>4</v>
      </c>
      <c r="F640" s="9">
        <v>3</v>
      </c>
      <c r="G640" s="2">
        <v>2</v>
      </c>
      <c r="H64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40" s="19">
        <f>Clients[[#This Row],[Facture_Mensuelle]]*Clients[[#This Row],[Remise]]</f>
        <v>0</v>
      </c>
    </row>
    <row r="641" spans="1:9" x14ac:dyDescent="0.25">
      <c r="A641" s="2" t="s">
        <v>674</v>
      </c>
      <c r="B641" s="2" t="s">
        <v>32</v>
      </c>
      <c r="C641" s="2" t="s">
        <v>7</v>
      </c>
      <c r="D641" s="3">
        <v>73.040000000000006</v>
      </c>
      <c r="E641" s="11">
        <v>1</v>
      </c>
      <c r="F641" s="9">
        <v>4</v>
      </c>
      <c r="G641" s="2">
        <v>3</v>
      </c>
      <c r="H64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41" s="19">
        <f>Clients[[#This Row],[Facture_Mensuelle]]*Clients[[#This Row],[Remise]]</f>
        <v>32.868000000000002</v>
      </c>
    </row>
    <row r="642" spans="1:9" x14ac:dyDescent="0.25">
      <c r="A642" s="2" t="s">
        <v>675</v>
      </c>
      <c r="B642" s="2" t="s">
        <v>30</v>
      </c>
      <c r="C642" s="2" t="s">
        <v>10</v>
      </c>
      <c r="D642" s="3">
        <v>26.64</v>
      </c>
      <c r="E642" s="11">
        <v>5</v>
      </c>
      <c r="F642" s="9">
        <v>6</v>
      </c>
      <c r="G642" s="2">
        <v>4</v>
      </c>
      <c r="H64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42" s="19">
        <f>Clients[[#This Row],[Facture_Mensuelle]]*Clients[[#This Row],[Remise]]</f>
        <v>11.988000000000001</v>
      </c>
    </row>
    <row r="643" spans="1:9" x14ac:dyDescent="0.25">
      <c r="A643" s="2" t="s">
        <v>676</v>
      </c>
      <c r="B643" s="2" t="s">
        <v>15</v>
      </c>
      <c r="C643" s="2" t="s">
        <v>7</v>
      </c>
      <c r="D643" s="3">
        <v>65.819999999999993</v>
      </c>
      <c r="E643" s="11">
        <v>9</v>
      </c>
      <c r="F643" s="9">
        <v>4</v>
      </c>
      <c r="G643" s="2">
        <v>0</v>
      </c>
      <c r="H64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43" s="19">
        <f>Clients[[#This Row],[Facture_Mensuelle]]*Clients[[#This Row],[Remise]]</f>
        <v>29.618999999999996</v>
      </c>
    </row>
    <row r="644" spans="1:9" x14ac:dyDescent="0.25">
      <c r="A644" s="2" t="s">
        <v>677</v>
      </c>
      <c r="B644" s="2" t="s">
        <v>22</v>
      </c>
      <c r="C644" s="2" t="s">
        <v>13</v>
      </c>
      <c r="D644" s="3">
        <v>50.67</v>
      </c>
      <c r="E644" s="11">
        <v>4</v>
      </c>
      <c r="F644" s="9">
        <v>0</v>
      </c>
      <c r="G644" s="2">
        <v>1</v>
      </c>
      <c r="H64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44" s="19">
        <f>Clients[[#This Row],[Facture_Mensuelle]]*Clients[[#This Row],[Remise]]</f>
        <v>0</v>
      </c>
    </row>
    <row r="645" spans="1:9" x14ac:dyDescent="0.25">
      <c r="A645" s="2" t="s">
        <v>678</v>
      </c>
      <c r="B645" s="2" t="s">
        <v>22</v>
      </c>
      <c r="C645" s="2" t="s">
        <v>7</v>
      </c>
      <c r="D645" s="3">
        <v>39.58</v>
      </c>
      <c r="E645" s="11">
        <v>6</v>
      </c>
      <c r="F645" s="9">
        <v>6</v>
      </c>
      <c r="G645" s="2">
        <v>1</v>
      </c>
      <c r="H64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45" s="19">
        <f>Clients[[#This Row],[Facture_Mensuelle]]*Clients[[#This Row],[Remise]]</f>
        <v>17.811</v>
      </c>
    </row>
    <row r="646" spans="1:9" x14ac:dyDescent="0.25">
      <c r="A646" s="2" t="s">
        <v>679</v>
      </c>
      <c r="B646" s="2" t="s">
        <v>9</v>
      </c>
      <c r="C646" s="2" t="s">
        <v>13</v>
      </c>
      <c r="D646" s="3">
        <v>62.62</v>
      </c>
      <c r="E646" s="11">
        <v>7</v>
      </c>
      <c r="F646" s="9">
        <v>3</v>
      </c>
      <c r="G646" s="2">
        <v>5</v>
      </c>
      <c r="H64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46" s="19">
        <f>Clients[[#This Row],[Facture_Mensuelle]]*Clients[[#This Row],[Remise]]</f>
        <v>0</v>
      </c>
    </row>
    <row r="647" spans="1:9" x14ac:dyDescent="0.25">
      <c r="A647" s="2" t="s">
        <v>680</v>
      </c>
      <c r="B647" s="2" t="s">
        <v>15</v>
      </c>
      <c r="C647" s="2" t="s">
        <v>13</v>
      </c>
      <c r="D647" s="3">
        <v>20.22</v>
      </c>
      <c r="E647" s="11">
        <v>10</v>
      </c>
      <c r="F647" s="9">
        <v>4</v>
      </c>
      <c r="G647" s="2">
        <v>2</v>
      </c>
      <c r="H64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47" s="19">
        <f>Clients[[#This Row],[Facture_Mensuelle]]*Clients[[#This Row],[Remise]]</f>
        <v>9.0990000000000002</v>
      </c>
    </row>
    <row r="648" spans="1:9" x14ac:dyDescent="0.25">
      <c r="A648" s="2" t="s">
        <v>681</v>
      </c>
      <c r="B648" s="2" t="s">
        <v>22</v>
      </c>
      <c r="C648" s="2" t="s">
        <v>10</v>
      </c>
      <c r="D648" s="3">
        <v>53.61</v>
      </c>
      <c r="E648" s="11">
        <v>7</v>
      </c>
      <c r="F648" s="9">
        <v>5</v>
      </c>
      <c r="G648" s="2">
        <v>2</v>
      </c>
      <c r="H64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48" s="19">
        <f>Clients[[#This Row],[Facture_Mensuelle]]*Clients[[#This Row],[Remise]]</f>
        <v>24.124500000000001</v>
      </c>
    </row>
    <row r="649" spans="1:9" x14ac:dyDescent="0.25">
      <c r="A649" s="2" t="s">
        <v>682</v>
      </c>
      <c r="B649" s="2" t="s">
        <v>30</v>
      </c>
      <c r="C649" s="2" t="s">
        <v>19</v>
      </c>
      <c r="D649" s="3">
        <v>55.17</v>
      </c>
      <c r="E649" s="11">
        <v>4</v>
      </c>
      <c r="F649" s="9">
        <v>4</v>
      </c>
      <c r="G649" s="2">
        <v>2</v>
      </c>
      <c r="H64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49" s="19">
        <f>Clients[[#This Row],[Facture_Mensuelle]]*Clients[[#This Row],[Remise]]</f>
        <v>24.826500000000003</v>
      </c>
    </row>
    <row r="650" spans="1:9" x14ac:dyDescent="0.25">
      <c r="A650" s="2" t="s">
        <v>683</v>
      </c>
      <c r="B650" s="2" t="s">
        <v>46</v>
      </c>
      <c r="C650" s="2" t="s">
        <v>19</v>
      </c>
      <c r="D650" s="3">
        <v>33.380000000000003</v>
      </c>
      <c r="E650" s="11">
        <v>7</v>
      </c>
      <c r="F650" s="9">
        <v>8</v>
      </c>
      <c r="G650" s="2">
        <v>4</v>
      </c>
      <c r="H65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0" s="19">
        <f>Clients[[#This Row],[Facture_Mensuelle]]*Clients[[#This Row],[Remise]]</f>
        <v>15.021000000000001</v>
      </c>
    </row>
    <row r="651" spans="1:9" x14ac:dyDescent="0.25">
      <c r="A651" s="2" t="s">
        <v>684</v>
      </c>
      <c r="B651" s="2" t="s">
        <v>18</v>
      </c>
      <c r="C651" s="2" t="s">
        <v>19</v>
      </c>
      <c r="D651" s="3">
        <v>10.28</v>
      </c>
      <c r="E651" s="11">
        <v>3</v>
      </c>
      <c r="F651" s="9">
        <v>7</v>
      </c>
      <c r="G651" s="2">
        <v>5</v>
      </c>
      <c r="H65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1" s="19">
        <f>Clients[[#This Row],[Facture_Mensuelle]]*Clients[[#This Row],[Remise]]</f>
        <v>4.6259999999999994</v>
      </c>
    </row>
    <row r="652" spans="1:9" x14ac:dyDescent="0.25">
      <c r="A652" s="2" t="s">
        <v>685</v>
      </c>
      <c r="B652" s="2" t="s">
        <v>46</v>
      </c>
      <c r="C652" s="2" t="s">
        <v>10</v>
      </c>
      <c r="D652" s="3">
        <v>79.150000000000006</v>
      </c>
      <c r="E652" s="11">
        <v>9</v>
      </c>
      <c r="F652" s="9">
        <v>5</v>
      </c>
      <c r="G652" s="2">
        <v>1</v>
      </c>
      <c r="H65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2" s="19">
        <f>Clients[[#This Row],[Facture_Mensuelle]]*Clients[[#This Row],[Remise]]</f>
        <v>35.617500000000007</v>
      </c>
    </row>
    <row r="653" spans="1:9" x14ac:dyDescent="0.25">
      <c r="A653" s="2" t="s">
        <v>686</v>
      </c>
      <c r="B653" s="2" t="s">
        <v>40</v>
      </c>
      <c r="C653" s="2" t="s">
        <v>10</v>
      </c>
      <c r="D653" s="3">
        <v>52.71</v>
      </c>
      <c r="E653" s="11">
        <v>8</v>
      </c>
      <c r="F653" s="9">
        <v>3</v>
      </c>
      <c r="G653" s="2">
        <v>2</v>
      </c>
      <c r="H65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53" s="19">
        <f>Clients[[#This Row],[Facture_Mensuelle]]*Clients[[#This Row],[Remise]]</f>
        <v>5.2710000000000008</v>
      </c>
    </row>
    <row r="654" spans="1:9" x14ac:dyDescent="0.25">
      <c r="A654" s="2" t="s">
        <v>687</v>
      </c>
      <c r="B654" s="2" t="s">
        <v>105</v>
      </c>
      <c r="C654" s="2" t="s">
        <v>13</v>
      </c>
      <c r="D654" s="3">
        <v>40.51</v>
      </c>
      <c r="E654" s="11">
        <v>9</v>
      </c>
      <c r="F654" s="9">
        <v>5</v>
      </c>
      <c r="G654" s="2">
        <v>3</v>
      </c>
      <c r="H65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4" s="19">
        <f>Clients[[#This Row],[Facture_Mensuelle]]*Clients[[#This Row],[Remise]]</f>
        <v>18.229499999999998</v>
      </c>
    </row>
    <row r="655" spans="1:9" x14ac:dyDescent="0.25">
      <c r="A655" s="2" t="s">
        <v>688</v>
      </c>
      <c r="B655" s="2" t="s">
        <v>65</v>
      </c>
      <c r="C655" s="2" t="s">
        <v>13</v>
      </c>
      <c r="D655" s="3">
        <v>64.73</v>
      </c>
      <c r="E655" s="11">
        <v>5</v>
      </c>
      <c r="F655" s="9">
        <v>6</v>
      </c>
      <c r="G655" s="2">
        <v>1</v>
      </c>
      <c r="H65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5" s="19">
        <f>Clients[[#This Row],[Facture_Mensuelle]]*Clients[[#This Row],[Remise]]</f>
        <v>29.128500000000003</v>
      </c>
    </row>
    <row r="656" spans="1:9" x14ac:dyDescent="0.25">
      <c r="A656" s="2" t="s">
        <v>689</v>
      </c>
      <c r="B656" s="2" t="s">
        <v>38</v>
      </c>
      <c r="C656" s="2" t="s">
        <v>10</v>
      </c>
      <c r="D656" s="3">
        <v>35.4</v>
      </c>
      <c r="E656" s="11">
        <v>8</v>
      </c>
      <c r="F656" s="9">
        <v>4</v>
      </c>
      <c r="G656" s="2">
        <v>1</v>
      </c>
      <c r="H65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6" s="19">
        <f>Clients[[#This Row],[Facture_Mensuelle]]*Clients[[#This Row],[Remise]]</f>
        <v>15.93</v>
      </c>
    </row>
    <row r="657" spans="1:9" x14ac:dyDescent="0.25">
      <c r="A657" s="2" t="s">
        <v>690</v>
      </c>
      <c r="B657" s="2" t="s">
        <v>18</v>
      </c>
      <c r="C657" s="2" t="s">
        <v>10</v>
      </c>
      <c r="D657" s="3">
        <v>34.57</v>
      </c>
      <c r="E657" s="11">
        <v>6</v>
      </c>
      <c r="F657" s="9">
        <v>6</v>
      </c>
      <c r="G657" s="2">
        <v>2</v>
      </c>
      <c r="H65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7" s="19">
        <f>Clients[[#This Row],[Facture_Mensuelle]]*Clients[[#This Row],[Remise]]</f>
        <v>15.5565</v>
      </c>
    </row>
    <row r="658" spans="1:9" x14ac:dyDescent="0.25">
      <c r="A658" s="2" t="s">
        <v>691</v>
      </c>
      <c r="B658" s="2" t="s">
        <v>32</v>
      </c>
      <c r="C658" s="2" t="s">
        <v>13</v>
      </c>
      <c r="D658" s="3">
        <v>76.53</v>
      </c>
      <c r="E658" s="11">
        <v>8</v>
      </c>
      <c r="F658" s="9">
        <v>7</v>
      </c>
      <c r="G658" s="2">
        <v>5</v>
      </c>
      <c r="H65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8" s="19">
        <f>Clients[[#This Row],[Facture_Mensuelle]]*Clients[[#This Row],[Remise]]</f>
        <v>34.438500000000005</v>
      </c>
    </row>
    <row r="659" spans="1:9" x14ac:dyDescent="0.25">
      <c r="A659" s="2" t="s">
        <v>692</v>
      </c>
      <c r="B659" s="2" t="s">
        <v>46</v>
      </c>
      <c r="C659" s="2" t="s">
        <v>7</v>
      </c>
      <c r="D659" s="3">
        <v>98.22</v>
      </c>
      <c r="E659" s="11">
        <v>10</v>
      </c>
      <c r="F659" s="9">
        <v>5</v>
      </c>
      <c r="G659" s="2">
        <v>4</v>
      </c>
      <c r="H65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59" s="19">
        <f>Clients[[#This Row],[Facture_Mensuelle]]*Clients[[#This Row],[Remise]]</f>
        <v>44.198999999999998</v>
      </c>
    </row>
    <row r="660" spans="1:9" x14ac:dyDescent="0.25">
      <c r="A660" s="2" t="s">
        <v>693</v>
      </c>
      <c r="B660" s="2" t="s">
        <v>38</v>
      </c>
      <c r="C660" s="2" t="s">
        <v>7</v>
      </c>
      <c r="D660" s="3">
        <v>69.900000000000006</v>
      </c>
      <c r="E660" s="11">
        <v>7</v>
      </c>
      <c r="F660" s="9">
        <v>6</v>
      </c>
      <c r="G660" s="2">
        <v>5</v>
      </c>
      <c r="H66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60" s="19">
        <f>Clients[[#This Row],[Facture_Mensuelle]]*Clients[[#This Row],[Remise]]</f>
        <v>31.455000000000002</v>
      </c>
    </row>
    <row r="661" spans="1:9" x14ac:dyDescent="0.25">
      <c r="A661" s="2" t="s">
        <v>694</v>
      </c>
      <c r="B661" s="2" t="s">
        <v>30</v>
      </c>
      <c r="C661" s="2" t="s">
        <v>13</v>
      </c>
      <c r="D661" s="3">
        <v>80.72</v>
      </c>
      <c r="E661" s="11">
        <v>9</v>
      </c>
      <c r="F661" s="9">
        <v>5</v>
      </c>
      <c r="G661" s="2">
        <v>2</v>
      </c>
      <c r="H66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61" s="19">
        <f>Clients[[#This Row],[Facture_Mensuelle]]*Clients[[#This Row],[Remise]]</f>
        <v>36.323999999999998</v>
      </c>
    </row>
    <row r="662" spans="1:9" x14ac:dyDescent="0.25">
      <c r="A662" s="2" t="s">
        <v>695</v>
      </c>
      <c r="B662" s="2" t="s">
        <v>28</v>
      </c>
      <c r="C662" s="2" t="s">
        <v>10</v>
      </c>
      <c r="D662" s="3">
        <v>86.19</v>
      </c>
      <c r="E662" s="11">
        <v>8</v>
      </c>
      <c r="F662" s="9">
        <v>3</v>
      </c>
      <c r="G662" s="2">
        <v>0</v>
      </c>
      <c r="H66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62" s="19">
        <f>Clients[[#This Row],[Facture_Mensuelle]]*Clients[[#This Row],[Remise]]</f>
        <v>8.6189999999999998</v>
      </c>
    </row>
    <row r="663" spans="1:9" x14ac:dyDescent="0.25">
      <c r="A663" s="2" t="s">
        <v>696</v>
      </c>
      <c r="B663" s="2" t="s">
        <v>44</v>
      </c>
      <c r="C663" s="2" t="s">
        <v>7</v>
      </c>
      <c r="D663" s="3">
        <v>83.24</v>
      </c>
      <c r="E663" s="11">
        <v>4</v>
      </c>
      <c r="F663" s="9">
        <v>8</v>
      </c>
      <c r="G663" s="2">
        <v>0</v>
      </c>
      <c r="H66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63" s="19">
        <f>Clients[[#This Row],[Facture_Mensuelle]]*Clients[[#This Row],[Remise]]</f>
        <v>37.457999999999998</v>
      </c>
    </row>
    <row r="664" spans="1:9" x14ac:dyDescent="0.25">
      <c r="A664" s="2" t="s">
        <v>697</v>
      </c>
      <c r="B664" s="2" t="s">
        <v>59</v>
      </c>
      <c r="C664" s="2" t="s">
        <v>10</v>
      </c>
      <c r="D664" s="3">
        <v>49.06</v>
      </c>
      <c r="E664" s="11">
        <v>2</v>
      </c>
      <c r="F664" s="9">
        <v>2</v>
      </c>
      <c r="G664" s="2">
        <v>2</v>
      </c>
      <c r="H66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64" s="19">
        <f>Clients[[#This Row],[Facture_Mensuelle]]*Clients[[#This Row],[Remise]]</f>
        <v>4.9060000000000006</v>
      </c>
    </row>
    <row r="665" spans="1:9" x14ac:dyDescent="0.25">
      <c r="A665" s="2" t="s">
        <v>698</v>
      </c>
      <c r="B665" s="2" t="s">
        <v>48</v>
      </c>
      <c r="C665" s="2" t="s">
        <v>10</v>
      </c>
      <c r="D665" s="3">
        <v>40.159999999999997</v>
      </c>
      <c r="E665" s="11">
        <v>7</v>
      </c>
      <c r="F665" s="9">
        <v>3</v>
      </c>
      <c r="G665" s="2">
        <v>5</v>
      </c>
      <c r="H66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65" s="19">
        <f>Clients[[#This Row],[Facture_Mensuelle]]*Clients[[#This Row],[Remise]]</f>
        <v>4.016</v>
      </c>
    </row>
    <row r="666" spans="1:9" x14ac:dyDescent="0.25">
      <c r="A666" s="2" t="s">
        <v>699</v>
      </c>
      <c r="B666" s="2" t="s">
        <v>32</v>
      </c>
      <c r="C666" s="2" t="s">
        <v>7</v>
      </c>
      <c r="D666" s="3">
        <v>61.2</v>
      </c>
      <c r="E666" s="11">
        <v>8</v>
      </c>
      <c r="F666" s="9">
        <v>8</v>
      </c>
      <c r="G666" s="2">
        <v>3</v>
      </c>
      <c r="H66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66" s="19">
        <f>Clients[[#This Row],[Facture_Mensuelle]]*Clients[[#This Row],[Remise]]</f>
        <v>27.540000000000003</v>
      </c>
    </row>
    <row r="667" spans="1:9" x14ac:dyDescent="0.25">
      <c r="A667" s="2" t="s">
        <v>700</v>
      </c>
      <c r="B667" s="2" t="s">
        <v>65</v>
      </c>
      <c r="C667" s="2" t="s">
        <v>13</v>
      </c>
      <c r="D667" s="3">
        <v>12.89</v>
      </c>
      <c r="E667" s="11">
        <v>4</v>
      </c>
      <c r="F667" s="9">
        <v>7</v>
      </c>
      <c r="G667" s="2">
        <v>1</v>
      </c>
      <c r="H66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67" s="19">
        <f>Clients[[#This Row],[Facture_Mensuelle]]*Clients[[#This Row],[Remise]]</f>
        <v>5.8005000000000004</v>
      </c>
    </row>
    <row r="668" spans="1:9" x14ac:dyDescent="0.25">
      <c r="A668" s="2" t="s">
        <v>701</v>
      </c>
      <c r="B668" s="2" t="s">
        <v>48</v>
      </c>
      <c r="C668" s="2" t="s">
        <v>7</v>
      </c>
      <c r="D668" s="3">
        <v>30.5</v>
      </c>
      <c r="E668" s="11">
        <v>1</v>
      </c>
      <c r="F668" s="9">
        <v>0</v>
      </c>
      <c r="G668" s="2">
        <v>1</v>
      </c>
      <c r="H66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68" s="19">
        <f>Clients[[#This Row],[Facture_Mensuelle]]*Clients[[#This Row],[Remise]]</f>
        <v>0</v>
      </c>
    </row>
    <row r="669" spans="1:9" x14ac:dyDescent="0.25">
      <c r="A669" s="2" t="s">
        <v>702</v>
      </c>
      <c r="B669" s="2" t="s">
        <v>6</v>
      </c>
      <c r="C669" s="2" t="s">
        <v>7</v>
      </c>
      <c r="D669" s="3">
        <v>23.11</v>
      </c>
      <c r="E669" s="11">
        <v>5</v>
      </c>
      <c r="F669" s="9">
        <v>7</v>
      </c>
      <c r="G669" s="2">
        <v>0</v>
      </c>
      <c r="H66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69" s="19">
        <f>Clients[[#This Row],[Facture_Mensuelle]]*Clients[[#This Row],[Remise]]</f>
        <v>10.3995</v>
      </c>
    </row>
    <row r="670" spans="1:9" x14ac:dyDescent="0.25">
      <c r="A670" s="2" t="s">
        <v>703</v>
      </c>
      <c r="B670" s="2" t="s">
        <v>28</v>
      </c>
      <c r="C670" s="2" t="s">
        <v>10</v>
      </c>
      <c r="D670" s="3">
        <v>98.77</v>
      </c>
      <c r="E670" s="11">
        <v>8</v>
      </c>
      <c r="F670" s="9">
        <v>1</v>
      </c>
      <c r="G670" s="2">
        <v>3</v>
      </c>
      <c r="H67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70" s="19">
        <f>Clients[[#This Row],[Facture_Mensuelle]]*Clients[[#This Row],[Remise]]</f>
        <v>9.8770000000000007</v>
      </c>
    </row>
    <row r="671" spans="1:9" x14ac:dyDescent="0.25">
      <c r="A671" s="2" t="s">
        <v>704</v>
      </c>
      <c r="B671" s="2" t="s">
        <v>57</v>
      </c>
      <c r="C671" s="2" t="s">
        <v>7</v>
      </c>
      <c r="D671" s="3">
        <v>25.06</v>
      </c>
      <c r="E671" s="11">
        <v>4</v>
      </c>
      <c r="F671" s="9">
        <v>4</v>
      </c>
      <c r="G671" s="2">
        <v>4</v>
      </c>
      <c r="H67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71" s="19">
        <f>Clients[[#This Row],[Facture_Mensuelle]]*Clients[[#This Row],[Remise]]</f>
        <v>11.276999999999999</v>
      </c>
    </row>
    <row r="672" spans="1:9" x14ac:dyDescent="0.25">
      <c r="A672" s="2" t="s">
        <v>705</v>
      </c>
      <c r="B672" s="2" t="s">
        <v>62</v>
      </c>
      <c r="C672" s="2" t="s">
        <v>13</v>
      </c>
      <c r="D672" s="3">
        <v>76.38</v>
      </c>
      <c r="E672" s="11">
        <v>2</v>
      </c>
      <c r="F672" s="9">
        <v>8</v>
      </c>
      <c r="G672" s="2">
        <v>3</v>
      </c>
      <c r="H67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72" s="19">
        <f>Clients[[#This Row],[Facture_Mensuelle]]*Clients[[#This Row],[Remise]]</f>
        <v>34.371000000000002</v>
      </c>
    </row>
    <row r="673" spans="1:9" x14ac:dyDescent="0.25">
      <c r="A673" s="2" t="s">
        <v>706</v>
      </c>
      <c r="B673" s="2" t="s">
        <v>59</v>
      </c>
      <c r="C673" s="2" t="s">
        <v>10</v>
      </c>
      <c r="D673" s="3">
        <v>73.73</v>
      </c>
      <c r="E673" s="11">
        <v>7</v>
      </c>
      <c r="F673" s="9">
        <v>2</v>
      </c>
      <c r="G673" s="2">
        <v>2</v>
      </c>
      <c r="H67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73" s="19">
        <f>Clients[[#This Row],[Facture_Mensuelle]]*Clients[[#This Row],[Remise]]</f>
        <v>7.3730000000000011</v>
      </c>
    </row>
    <row r="674" spans="1:9" x14ac:dyDescent="0.25">
      <c r="A674" s="2" t="s">
        <v>707</v>
      </c>
      <c r="B674" s="2" t="s">
        <v>40</v>
      </c>
      <c r="C674" s="2" t="s">
        <v>13</v>
      </c>
      <c r="D674" s="3">
        <v>29.57</v>
      </c>
      <c r="E674" s="11">
        <v>3</v>
      </c>
      <c r="F674" s="9">
        <v>7</v>
      </c>
      <c r="G674" s="2">
        <v>5</v>
      </c>
      <c r="H67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74" s="19">
        <f>Clients[[#This Row],[Facture_Mensuelle]]*Clients[[#This Row],[Remise]]</f>
        <v>13.3065</v>
      </c>
    </row>
    <row r="675" spans="1:9" x14ac:dyDescent="0.25">
      <c r="A675" s="2" t="s">
        <v>708</v>
      </c>
      <c r="B675" s="2" t="s">
        <v>59</v>
      </c>
      <c r="C675" s="2" t="s">
        <v>13</v>
      </c>
      <c r="D675" s="3">
        <v>23.05</v>
      </c>
      <c r="E675" s="11">
        <v>8</v>
      </c>
      <c r="F675" s="9">
        <v>2</v>
      </c>
      <c r="G675" s="2">
        <v>4</v>
      </c>
      <c r="H67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75" s="19">
        <f>Clients[[#This Row],[Facture_Mensuelle]]*Clients[[#This Row],[Remise]]</f>
        <v>0</v>
      </c>
    </row>
    <row r="676" spans="1:9" x14ac:dyDescent="0.25">
      <c r="A676" s="2" t="s">
        <v>709</v>
      </c>
      <c r="B676" s="2" t="s">
        <v>6</v>
      </c>
      <c r="C676" s="2" t="s">
        <v>10</v>
      </c>
      <c r="D676" s="3">
        <v>66.34</v>
      </c>
      <c r="E676" s="11">
        <v>10</v>
      </c>
      <c r="F676" s="9">
        <v>4</v>
      </c>
      <c r="G676" s="2">
        <v>3</v>
      </c>
      <c r="H67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76" s="19">
        <f>Clients[[#This Row],[Facture_Mensuelle]]*Clients[[#This Row],[Remise]]</f>
        <v>29.853000000000002</v>
      </c>
    </row>
    <row r="677" spans="1:9" x14ac:dyDescent="0.25">
      <c r="A677" s="2" t="s">
        <v>710</v>
      </c>
      <c r="B677" s="2" t="s">
        <v>34</v>
      </c>
      <c r="C677" s="2" t="s">
        <v>13</v>
      </c>
      <c r="D677" s="3">
        <v>93.98</v>
      </c>
      <c r="E677" s="11">
        <v>9</v>
      </c>
      <c r="F677" s="9">
        <v>8</v>
      </c>
      <c r="G677" s="2">
        <v>0</v>
      </c>
      <c r="H67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77" s="19">
        <f>Clients[[#This Row],[Facture_Mensuelle]]*Clients[[#This Row],[Remise]]</f>
        <v>42.291000000000004</v>
      </c>
    </row>
    <row r="678" spans="1:9" x14ac:dyDescent="0.25">
      <c r="A678" s="2" t="s">
        <v>711</v>
      </c>
      <c r="B678" s="2" t="s">
        <v>18</v>
      </c>
      <c r="C678" s="2" t="s">
        <v>7</v>
      </c>
      <c r="D678" s="3">
        <v>10.94</v>
      </c>
      <c r="E678" s="11">
        <v>1</v>
      </c>
      <c r="F678" s="9">
        <v>4</v>
      </c>
      <c r="G678" s="2">
        <v>0</v>
      </c>
      <c r="H67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78" s="19">
        <f>Clients[[#This Row],[Facture_Mensuelle]]*Clients[[#This Row],[Remise]]</f>
        <v>4.923</v>
      </c>
    </row>
    <row r="679" spans="1:9" x14ac:dyDescent="0.25">
      <c r="A679" s="2" t="s">
        <v>712</v>
      </c>
      <c r="B679" s="2" t="s">
        <v>59</v>
      </c>
      <c r="C679" s="2" t="s">
        <v>10</v>
      </c>
      <c r="D679" s="3">
        <v>80.08</v>
      </c>
      <c r="E679" s="11">
        <v>4</v>
      </c>
      <c r="F679" s="9">
        <v>6</v>
      </c>
      <c r="G679" s="2">
        <v>1</v>
      </c>
      <c r="H67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79" s="19">
        <f>Clients[[#This Row],[Facture_Mensuelle]]*Clients[[#This Row],[Remise]]</f>
        <v>36.036000000000001</v>
      </c>
    </row>
    <row r="680" spans="1:9" x14ac:dyDescent="0.25">
      <c r="A680" s="2" t="s">
        <v>713</v>
      </c>
      <c r="B680" s="2" t="s">
        <v>44</v>
      </c>
      <c r="C680" s="2" t="s">
        <v>7</v>
      </c>
      <c r="D680" s="3">
        <v>38.270000000000003</v>
      </c>
      <c r="E680" s="11">
        <v>9</v>
      </c>
      <c r="F680" s="9">
        <v>4</v>
      </c>
      <c r="G680" s="2">
        <v>0</v>
      </c>
      <c r="H68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80" s="19">
        <f>Clients[[#This Row],[Facture_Mensuelle]]*Clients[[#This Row],[Remise]]</f>
        <v>17.221500000000002</v>
      </c>
    </row>
    <row r="681" spans="1:9" x14ac:dyDescent="0.25">
      <c r="A681" s="2" t="s">
        <v>714</v>
      </c>
      <c r="B681" s="2" t="s">
        <v>72</v>
      </c>
      <c r="C681" s="2" t="s">
        <v>10</v>
      </c>
      <c r="D681" s="3">
        <v>73.12</v>
      </c>
      <c r="E681" s="11">
        <v>2</v>
      </c>
      <c r="F681" s="9">
        <v>2</v>
      </c>
      <c r="G681" s="2">
        <v>1</v>
      </c>
      <c r="H68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81" s="19">
        <f>Clients[[#This Row],[Facture_Mensuelle]]*Clients[[#This Row],[Remise]]</f>
        <v>7.3120000000000012</v>
      </c>
    </row>
    <row r="682" spans="1:9" x14ac:dyDescent="0.25">
      <c r="A682" s="2" t="s">
        <v>715</v>
      </c>
      <c r="B682" s="2" t="s">
        <v>12</v>
      </c>
      <c r="C682" s="2" t="s">
        <v>7</v>
      </c>
      <c r="D682" s="3">
        <v>68.53</v>
      </c>
      <c r="E682" s="11">
        <v>6</v>
      </c>
      <c r="F682" s="9">
        <v>3</v>
      </c>
      <c r="G682" s="2">
        <v>0</v>
      </c>
      <c r="H68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82" s="19">
        <f>Clients[[#This Row],[Facture_Mensuelle]]*Clients[[#This Row],[Remise]]</f>
        <v>0</v>
      </c>
    </row>
    <row r="683" spans="1:9" x14ac:dyDescent="0.25">
      <c r="A683" s="2" t="s">
        <v>716</v>
      </c>
      <c r="B683" s="2" t="s">
        <v>48</v>
      </c>
      <c r="C683" s="2" t="s">
        <v>10</v>
      </c>
      <c r="D683" s="3">
        <v>19.78</v>
      </c>
      <c r="E683" s="11">
        <v>3</v>
      </c>
      <c r="F683" s="9">
        <v>8</v>
      </c>
      <c r="G683" s="2">
        <v>5</v>
      </c>
      <c r="H68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83" s="19">
        <f>Clients[[#This Row],[Facture_Mensuelle]]*Clients[[#This Row],[Remise]]</f>
        <v>8.9010000000000016</v>
      </c>
    </row>
    <row r="684" spans="1:9" x14ac:dyDescent="0.25">
      <c r="A684" s="2" t="s">
        <v>717</v>
      </c>
      <c r="B684" s="2" t="s">
        <v>69</v>
      </c>
      <c r="C684" s="2" t="s">
        <v>10</v>
      </c>
      <c r="D684" s="3">
        <v>31.25</v>
      </c>
      <c r="E684" s="11">
        <v>8</v>
      </c>
      <c r="F684" s="9">
        <v>5</v>
      </c>
      <c r="G684" s="2">
        <v>1</v>
      </c>
      <c r="H68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84" s="19">
        <f>Clients[[#This Row],[Facture_Mensuelle]]*Clients[[#This Row],[Remise]]</f>
        <v>14.0625</v>
      </c>
    </row>
    <row r="685" spans="1:9" x14ac:dyDescent="0.25">
      <c r="A685" s="2" t="s">
        <v>718</v>
      </c>
      <c r="B685" s="2" t="s">
        <v>18</v>
      </c>
      <c r="C685" s="2" t="s">
        <v>19</v>
      </c>
      <c r="D685" s="3">
        <v>16.25</v>
      </c>
      <c r="E685" s="11">
        <v>10</v>
      </c>
      <c r="F685" s="9">
        <v>8</v>
      </c>
      <c r="G685" s="2">
        <v>3</v>
      </c>
      <c r="H68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85" s="19">
        <f>Clients[[#This Row],[Facture_Mensuelle]]*Clients[[#This Row],[Remise]]</f>
        <v>7.3125</v>
      </c>
    </row>
    <row r="686" spans="1:9" x14ac:dyDescent="0.25">
      <c r="A686" s="2" t="s">
        <v>719</v>
      </c>
      <c r="B686" s="2" t="s">
        <v>44</v>
      </c>
      <c r="C686" s="2" t="s">
        <v>7</v>
      </c>
      <c r="D686" s="3">
        <v>28.51</v>
      </c>
      <c r="E686" s="11">
        <v>7</v>
      </c>
      <c r="F686" s="9">
        <v>8</v>
      </c>
      <c r="G686" s="2">
        <v>5</v>
      </c>
      <c r="H68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86" s="19">
        <f>Clients[[#This Row],[Facture_Mensuelle]]*Clients[[#This Row],[Remise]]</f>
        <v>12.829500000000001</v>
      </c>
    </row>
    <row r="687" spans="1:9" x14ac:dyDescent="0.25">
      <c r="A687" s="2" t="s">
        <v>720</v>
      </c>
      <c r="B687" s="2" t="s">
        <v>44</v>
      </c>
      <c r="C687" s="2" t="s">
        <v>10</v>
      </c>
      <c r="D687" s="3">
        <v>83.16</v>
      </c>
      <c r="E687" s="11">
        <v>3</v>
      </c>
      <c r="F687" s="9">
        <v>3</v>
      </c>
      <c r="G687" s="2">
        <v>2</v>
      </c>
      <c r="H68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87" s="19">
        <f>Clients[[#This Row],[Facture_Mensuelle]]*Clients[[#This Row],[Remise]]</f>
        <v>8.3160000000000007</v>
      </c>
    </row>
    <row r="688" spans="1:9" x14ac:dyDescent="0.25">
      <c r="A688" s="2" t="s">
        <v>721</v>
      </c>
      <c r="B688" s="2" t="s">
        <v>38</v>
      </c>
      <c r="C688" s="2" t="s">
        <v>13</v>
      </c>
      <c r="D688" s="3">
        <v>31.05</v>
      </c>
      <c r="E688" s="11">
        <v>9</v>
      </c>
      <c r="F688" s="9">
        <v>8</v>
      </c>
      <c r="G688" s="2">
        <v>1</v>
      </c>
      <c r="H68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88" s="19">
        <f>Clients[[#This Row],[Facture_Mensuelle]]*Clients[[#This Row],[Remise]]</f>
        <v>13.9725</v>
      </c>
    </row>
    <row r="689" spans="1:9" x14ac:dyDescent="0.25">
      <c r="A689" s="2" t="s">
        <v>722</v>
      </c>
      <c r="B689" s="2" t="s">
        <v>30</v>
      </c>
      <c r="C689" s="2" t="s">
        <v>10</v>
      </c>
      <c r="D689" s="3">
        <v>98.01</v>
      </c>
      <c r="E689" s="11">
        <v>7</v>
      </c>
      <c r="F689" s="9">
        <v>1</v>
      </c>
      <c r="G689" s="2">
        <v>1</v>
      </c>
      <c r="H68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689" s="19">
        <f>Clients[[#This Row],[Facture_Mensuelle]]*Clients[[#This Row],[Remise]]</f>
        <v>9.8010000000000019</v>
      </c>
    </row>
    <row r="690" spans="1:9" x14ac:dyDescent="0.25">
      <c r="A690" s="2" t="s">
        <v>723</v>
      </c>
      <c r="B690" s="2" t="s">
        <v>40</v>
      </c>
      <c r="C690" s="2" t="s">
        <v>7</v>
      </c>
      <c r="D690" s="3">
        <v>18.28</v>
      </c>
      <c r="E690" s="11">
        <v>7</v>
      </c>
      <c r="F690" s="9">
        <v>8</v>
      </c>
      <c r="G690" s="2">
        <v>0</v>
      </c>
      <c r="H69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90" s="19">
        <f>Clients[[#This Row],[Facture_Mensuelle]]*Clients[[#This Row],[Remise]]</f>
        <v>8.2260000000000009</v>
      </c>
    </row>
    <row r="691" spans="1:9" x14ac:dyDescent="0.25">
      <c r="A691" s="2" t="s">
        <v>724</v>
      </c>
      <c r="B691" s="2" t="s">
        <v>105</v>
      </c>
      <c r="C691" s="2" t="s">
        <v>19</v>
      </c>
      <c r="D691" s="3">
        <v>98.44</v>
      </c>
      <c r="E691" s="11">
        <v>4</v>
      </c>
      <c r="F691" s="9">
        <v>1</v>
      </c>
      <c r="G691" s="2">
        <v>2</v>
      </c>
      <c r="H69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91" s="19">
        <f>Clients[[#This Row],[Facture_Mensuelle]]*Clients[[#This Row],[Remise]]</f>
        <v>44.298000000000002</v>
      </c>
    </row>
    <row r="692" spans="1:9" x14ac:dyDescent="0.25">
      <c r="A692" s="2" t="s">
        <v>725</v>
      </c>
      <c r="B692" s="2" t="s">
        <v>34</v>
      </c>
      <c r="C692" s="2" t="s">
        <v>10</v>
      </c>
      <c r="D692" s="3">
        <v>54.63</v>
      </c>
      <c r="E692" s="11">
        <v>0</v>
      </c>
      <c r="F692" s="9">
        <v>5</v>
      </c>
      <c r="G692" s="2">
        <v>3</v>
      </c>
      <c r="H69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92" s="19">
        <f>Clients[[#This Row],[Facture_Mensuelle]]*Clients[[#This Row],[Remise]]</f>
        <v>24.583500000000001</v>
      </c>
    </row>
    <row r="693" spans="1:9" x14ac:dyDescent="0.25">
      <c r="A693" s="2" t="s">
        <v>726</v>
      </c>
      <c r="B693" s="2" t="s">
        <v>40</v>
      </c>
      <c r="C693" s="2" t="s">
        <v>19</v>
      </c>
      <c r="D693" s="3">
        <v>45.21</v>
      </c>
      <c r="E693" s="11">
        <v>2</v>
      </c>
      <c r="F693" s="9">
        <v>6</v>
      </c>
      <c r="G693" s="2">
        <v>5</v>
      </c>
      <c r="H69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93" s="19">
        <f>Clients[[#This Row],[Facture_Mensuelle]]*Clients[[#This Row],[Remise]]</f>
        <v>20.3445</v>
      </c>
    </row>
    <row r="694" spans="1:9" x14ac:dyDescent="0.25">
      <c r="A694" s="2" t="s">
        <v>727</v>
      </c>
      <c r="B694" s="2" t="s">
        <v>24</v>
      </c>
      <c r="C694" s="2" t="s">
        <v>10</v>
      </c>
      <c r="D694" s="3">
        <v>56.86</v>
      </c>
      <c r="E694" s="11">
        <v>6</v>
      </c>
      <c r="F694" s="9">
        <v>4</v>
      </c>
      <c r="G694" s="2">
        <v>5</v>
      </c>
      <c r="H69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94" s="19">
        <f>Clients[[#This Row],[Facture_Mensuelle]]*Clients[[#This Row],[Remise]]</f>
        <v>25.587</v>
      </c>
    </row>
    <row r="695" spans="1:9" x14ac:dyDescent="0.25">
      <c r="A695" s="2" t="s">
        <v>728</v>
      </c>
      <c r="B695" s="2" t="s">
        <v>65</v>
      </c>
      <c r="C695" s="2" t="s">
        <v>7</v>
      </c>
      <c r="D695" s="3">
        <v>14.91</v>
      </c>
      <c r="E695" s="11">
        <v>1</v>
      </c>
      <c r="F695" s="9">
        <v>0</v>
      </c>
      <c r="G695" s="2">
        <v>1</v>
      </c>
      <c r="H69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95" s="19">
        <f>Clients[[#This Row],[Facture_Mensuelle]]*Clients[[#This Row],[Remise]]</f>
        <v>0</v>
      </c>
    </row>
    <row r="696" spans="1:9" x14ac:dyDescent="0.25">
      <c r="A696" s="2" t="s">
        <v>729</v>
      </c>
      <c r="B696" s="2" t="s">
        <v>38</v>
      </c>
      <c r="C696" s="2" t="s">
        <v>13</v>
      </c>
      <c r="D696" s="3">
        <v>29.24</v>
      </c>
      <c r="E696" s="11">
        <v>8</v>
      </c>
      <c r="F696" s="9">
        <v>6</v>
      </c>
      <c r="G696" s="2">
        <v>3</v>
      </c>
      <c r="H69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96" s="19">
        <f>Clients[[#This Row],[Facture_Mensuelle]]*Clients[[#This Row],[Remise]]</f>
        <v>13.157999999999999</v>
      </c>
    </row>
    <row r="697" spans="1:9" x14ac:dyDescent="0.25">
      <c r="A697" s="2" t="s">
        <v>730</v>
      </c>
      <c r="B697" s="2" t="s">
        <v>24</v>
      </c>
      <c r="C697" s="2" t="s">
        <v>13</v>
      </c>
      <c r="D697" s="3">
        <v>60.34</v>
      </c>
      <c r="E697" s="11">
        <v>9</v>
      </c>
      <c r="F697" s="9">
        <v>5</v>
      </c>
      <c r="G697" s="2">
        <v>5</v>
      </c>
      <c r="H69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97" s="19">
        <f>Clients[[#This Row],[Facture_Mensuelle]]*Clients[[#This Row],[Remise]]</f>
        <v>27.153000000000002</v>
      </c>
    </row>
    <row r="698" spans="1:9" x14ac:dyDescent="0.25">
      <c r="A698" s="2" t="s">
        <v>731</v>
      </c>
      <c r="B698" s="2" t="s">
        <v>30</v>
      </c>
      <c r="C698" s="2" t="s">
        <v>19</v>
      </c>
      <c r="D698" s="3">
        <v>23.83</v>
      </c>
      <c r="E698" s="11">
        <v>8</v>
      </c>
      <c r="F698" s="9">
        <v>2</v>
      </c>
      <c r="G698" s="2">
        <v>3</v>
      </c>
      <c r="H69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698" s="19">
        <f>Clients[[#This Row],[Facture_Mensuelle]]*Clients[[#This Row],[Remise]]</f>
        <v>0</v>
      </c>
    </row>
    <row r="699" spans="1:9" x14ac:dyDescent="0.25">
      <c r="A699" s="2" t="s">
        <v>732</v>
      </c>
      <c r="B699" s="2" t="s">
        <v>97</v>
      </c>
      <c r="C699" s="2" t="s">
        <v>13</v>
      </c>
      <c r="D699" s="3">
        <v>19.12</v>
      </c>
      <c r="E699" s="11">
        <v>10</v>
      </c>
      <c r="F699" s="9">
        <v>4</v>
      </c>
      <c r="G699" s="2">
        <v>5</v>
      </c>
      <c r="H69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699" s="19">
        <f>Clients[[#This Row],[Facture_Mensuelle]]*Clients[[#This Row],[Remise]]</f>
        <v>8.604000000000001</v>
      </c>
    </row>
    <row r="700" spans="1:9" x14ac:dyDescent="0.25">
      <c r="A700" s="2" t="s">
        <v>733</v>
      </c>
      <c r="B700" s="2" t="s">
        <v>72</v>
      </c>
      <c r="C700" s="2" t="s">
        <v>10</v>
      </c>
      <c r="D700" s="3">
        <v>68.17</v>
      </c>
      <c r="E700" s="11">
        <v>7</v>
      </c>
      <c r="F700" s="9">
        <v>6</v>
      </c>
      <c r="G700" s="2">
        <v>0</v>
      </c>
      <c r="H70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00" s="19">
        <f>Clients[[#This Row],[Facture_Mensuelle]]*Clients[[#This Row],[Remise]]</f>
        <v>30.676500000000001</v>
      </c>
    </row>
    <row r="701" spans="1:9" x14ac:dyDescent="0.25">
      <c r="A701" s="2" t="s">
        <v>734</v>
      </c>
      <c r="B701" s="2" t="s">
        <v>105</v>
      </c>
      <c r="C701" s="2" t="s">
        <v>19</v>
      </c>
      <c r="D701" s="3">
        <v>44.47</v>
      </c>
      <c r="E701" s="11">
        <v>5</v>
      </c>
      <c r="F701" s="9">
        <v>0</v>
      </c>
      <c r="G701" s="2">
        <v>0</v>
      </c>
      <c r="H70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01" s="19">
        <f>Clients[[#This Row],[Facture_Mensuelle]]*Clients[[#This Row],[Remise]]</f>
        <v>0</v>
      </c>
    </row>
    <row r="702" spans="1:9" x14ac:dyDescent="0.25">
      <c r="A702" s="2" t="s">
        <v>735</v>
      </c>
      <c r="B702" s="2" t="s">
        <v>9</v>
      </c>
      <c r="C702" s="2" t="s">
        <v>10</v>
      </c>
      <c r="D702" s="3">
        <v>75.03</v>
      </c>
      <c r="E702" s="11">
        <v>5</v>
      </c>
      <c r="F702" s="9">
        <v>6</v>
      </c>
      <c r="G702" s="2">
        <v>0</v>
      </c>
      <c r="H70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02" s="19">
        <f>Clients[[#This Row],[Facture_Mensuelle]]*Clients[[#This Row],[Remise]]</f>
        <v>33.763500000000001</v>
      </c>
    </row>
    <row r="703" spans="1:9" x14ac:dyDescent="0.25">
      <c r="A703" s="2" t="s">
        <v>736</v>
      </c>
      <c r="B703" s="2" t="s">
        <v>97</v>
      </c>
      <c r="C703" s="2" t="s">
        <v>10</v>
      </c>
      <c r="D703" s="3">
        <v>63.46</v>
      </c>
      <c r="E703" s="11">
        <v>1</v>
      </c>
      <c r="F703" s="9">
        <v>3</v>
      </c>
      <c r="G703" s="2">
        <v>3</v>
      </c>
      <c r="H70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703" s="19">
        <f>Clients[[#This Row],[Facture_Mensuelle]]*Clients[[#This Row],[Remise]]</f>
        <v>6.3460000000000001</v>
      </c>
    </row>
    <row r="704" spans="1:9" x14ac:dyDescent="0.25">
      <c r="A704" s="2" t="s">
        <v>737</v>
      </c>
      <c r="B704" s="2" t="s">
        <v>69</v>
      </c>
      <c r="C704" s="2" t="s">
        <v>7</v>
      </c>
      <c r="D704" s="3">
        <v>11.78</v>
      </c>
      <c r="E704" s="11">
        <v>2</v>
      </c>
      <c r="F704" s="9">
        <v>2</v>
      </c>
      <c r="G704" s="2">
        <v>4</v>
      </c>
      <c r="H70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04" s="19">
        <f>Clients[[#This Row],[Facture_Mensuelle]]*Clients[[#This Row],[Remise]]</f>
        <v>0</v>
      </c>
    </row>
    <row r="705" spans="1:9" x14ac:dyDescent="0.25">
      <c r="A705" s="2" t="s">
        <v>738</v>
      </c>
      <c r="B705" s="2" t="s">
        <v>42</v>
      </c>
      <c r="C705" s="2" t="s">
        <v>7</v>
      </c>
      <c r="D705" s="3">
        <v>24.01</v>
      </c>
      <c r="E705" s="11">
        <v>1</v>
      </c>
      <c r="F705" s="9">
        <v>3</v>
      </c>
      <c r="G705" s="2">
        <v>0</v>
      </c>
      <c r="H70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05" s="19">
        <f>Clients[[#This Row],[Facture_Mensuelle]]*Clients[[#This Row],[Remise]]</f>
        <v>0</v>
      </c>
    </row>
    <row r="706" spans="1:9" x14ac:dyDescent="0.25">
      <c r="A706" s="2" t="s">
        <v>739</v>
      </c>
      <c r="B706" s="2" t="s">
        <v>62</v>
      </c>
      <c r="C706" s="2" t="s">
        <v>10</v>
      </c>
      <c r="D706" s="3">
        <v>71.760000000000005</v>
      </c>
      <c r="E706" s="11">
        <v>8</v>
      </c>
      <c r="F706" s="9">
        <v>5</v>
      </c>
      <c r="G706" s="2">
        <v>1</v>
      </c>
      <c r="H70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06" s="19">
        <f>Clients[[#This Row],[Facture_Mensuelle]]*Clients[[#This Row],[Remise]]</f>
        <v>32.292000000000002</v>
      </c>
    </row>
    <row r="707" spans="1:9" x14ac:dyDescent="0.25">
      <c r="A707" s="2" t="s">
        <v>740</v>
      </c>
      <c r="B707" s="2" t="s">
        <v>57</v>
      </c>
      <c r="C707" s="2" t="s">
        <v>19</v>
      </c>
      <c r="D707" s="3">
        <v>91.95</v>
      </c>
      <c r="E707" s="11">
        <v>3</v>
      </c>
      <c r="F707" s="9">
        <v>1</v>
      </c>
      <c r="G707" s="2">
        <v>1</v>
      </c>
      <c r="H70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07" s="19">
        <f>Clients[[#This Row],[Facture_Mensuelle]]*Clients[[#This Row],[Remise]]</f>
        <v>41.377500000000005</v>
      </c>
    </row>
    <row r="708" spans="1:9" x14ac:dyDescent="0.25">
      <c r="A708" s="2" t="s">
        <v>741</v>
      </c>
      <c r="B708" s="2" t="s">
        <v>97</v>
      </c>
      <c r="C708" s="2" t="s">
        <v>13</v>
      </c>
      <c r="D708" s="3">
        <v>92.63</v>
      </c>
      <c r="E708" s="11">
        <v>6</v>
      </c>
      <c r="F708" s="9">
        <v>6</v>
      </c>
      <c r="G708" s="2">
        <v>0</v>
      </c>
      <c r="H70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08" s="19">
        <f>Clients[[#This Row],[Facture_Mensuelle]]*Clients[[#This Row],[Remise]]</f>
        <v>41.683500000000002</v>
      </c>
    </row>
    <row r="709" spans="1:9" x14ac:dyDescent="0.25">
      <c r="A709" s="2" t="s">
        <v>742</v>
      </c>
      <c r="B709" s="2" t="s">
        <v>48</v>
      </c>
      <c r="C709" s="2" t="s">
        <v>19</v>
      </c>
      <c r="D709" s="3">
        <v>92.99</v>
      </c>
      <c r="E709" s="11">
        <v>5</v>
      </c>
      <c r="F709" s="9">
        <v>2</v>
      </c>
      <c r="G709" s="2">
        <v>5</v>
      </c>
      <c r="H70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09" s="19">
        <f>Clients[[#This Row],[Facture_Mensuelle]]*Clients[[#This Row],[Remise]]</f>
        <v>0</v>
      </c>
    </row>
    <row r="710" spans="1:9" x14ac:dyDescent="0.25">
      <c r="A710" s="2" t="s">
        <v>743</v>
      </c>
      <c r="B710" s="2" t="s">
        <v>97</v>
      </c>
      <c r="C710" s="2" t="s">
        <v>10</v>
      </c>
      <c r="D710" s="3">
        <v>97.58</v>
      </c>
      <c r="E710" s="11">
        <v>10</v>
      </c>
      <c r="F710" s="9">
        <v>1</v>
      </c>
      <c r="G710" s="2">
        <v>3</v>
      </c>
      <c r="H71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710" s="19">
        <f>Clients[[#This Row],[Facture_Mensuelle]]*Clients[[#This Row],[Remise]]</f>
        <v>9.7580000000000009</v>
      </c>
    </row>
    <row r="711" spans="1:9" x14ac:dyDescent="0.25">
      <c r="A711" s="2" t="s">
        <v>744</v>
      </c>
      <c r="B711" s="2" t="s">
        <v>69</v>
      </c>
      <c r="C711" s="2" t="s">
        <v>7</v>
      </c>
      <c r="D711" s="3">
        <v>70.19</v>
      </c>
      <c r="E711" s="11">
        <v>8</v>
      </c>
      <c r="F711" s="9">
        <v>0</v>
      </c>
      <c r="G711" s="2">
        <v>1</v>
      </c>
      <c r="H71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11" s="19">
        <f>Clients[[#This Row],[Facture_Mensuelle]]*Clients[[#This Row],[Remise]]</f>
        <v>0</v>
      </c>
    </row>
    <row r="712" spans="1:9" x14ac:dyDescent="0.25">
      <c r="A712" s="2" t="s">
        <v>745</v>
      </c>
      <c r="B712" s="2" t="s">
        <v>105</v>
      </c>
      <c r="C712" s="2" t="s">
        <v>19</v>
      </c>
      <c r="D712" s="3">
        <v>83.14</v>
      </c>
      <c r="E712" s="11">
        <v>7</v>
      </c>
      <c r="F712" s="9">
        <v>2</v>
      </c>
      <c r="G712" s="2">
        <v>5</v>
      </c>
      <c r="H71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12" s="19">
        <f>Clients[[#This Row],[Facture_Mensuelle]]*Clients[[#This Row],[Remise]]</f>
        <v>0</v>
      </c>
    </row>
    <row r="713" spans="1:9" x14ac:dyDescent="0.25">
      <c r="A713" s="2" t="s">
        <v>746</v>
      </c>
      <c r="B713" s="2" t="s">
        <v>65</v>
      </c>
      <c r="C713" s="2" t="s">
        <v>13</v>
      </c>
      <c r="D713" s="3">
        <v>58.64</v>
      </c>
      <c r="E713" s="11">
        <v>5</v>
      </c>
      <c r="F713" s="9">
        <v>1</v>
      </c>
      <c r="G713" s="2">
        <v>3</v>
      </c>
      <c r="H71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13" s="19">
        <f>Clients[[#This Row],[Facture_Mensuelle]]*Clients[[#This Row],[Remise]]</f>
        <v>0</v>
      </c>
    </row>
    <row r="714" spans="1:9" x14ac:dyDescent="0.25">
      <c r="A714" s="2" t="s">
        <v>747</v>
      </c>
      <c r="B714" s="2" t="s">
        <v>15</v>
      </c>
      <c r="C714" s="2" t="s">
        <v>7</v>
      </c>
      <c r="D714" s="3">
        <v>75.260000000000005</v>
      </c>
      <c r="E714" s="11">
        <v>0</v>
      </c>
      <c r="F714" s="9">
        <v>8</v>
      </c>
      <c r="G714" s="2">
        <v>5</v>
      </c>
      <c r="H71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14" s="19">
        <f>Clients[[#This Row],[Facture_Mensuelle]]*Clients[[#This Row],[Remise]]</f>
        <v>33.867000000000004</v>
      </c>
    </row>
    <row r="715" spans="1:9" x14ac:dyDescent="0.25">
      <c r="A715" s="2" t="s">
        <v>748</v>
      </c>
      <c r="B715" s="2" t="s">
        <v>18</v>
      </c>
      <c r="C715" s="2" t="s">
        <v>7</v>
      </c>
      <c r="D715" s="3">
        <v>28.56</v>
      </c>
      <c r="E715" s="11">
        <v>3</v>
      </c>
      <c r="F715" s="9">
        <v>7</v>
      </c>
      <c r="G715" s="2">
        <v>2</v>
      </c>
      <c r="H71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15" s="19">
        <f>Clients[[#This Row],[Facture_Mensuelle]]*Clients[[#This Row],[Remise]]</f>
        <v>12.852</v>
      </c>
    </row>
    <row r="716" spans="1:9" x14ac:dyDescent="0.25">
      <c r="A716" s="2" t="s">
        <v>749</v>
      </c>
      <c r="B716" s="2" t="s">
        <v>46</v>
      </c>
      <c r="C716" s="2" t="s">
        <v>10</v>
      </c>
      <c r="D716" s="3">
        <v>53.94</v>
      </c>
      <c r="E716" s="11">
        <v>4</v>
      </c>
      <c r="F716" s="9">
        <v>4</v>
      </c>
      <c r="G716" s="2">
        <v>5</v>
      </c>
      <c r="H71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16" s="19">
        <f>Clients[[#This Row],[Facture_Mensuelle]]*Clients[[#This Row],[Remise]]</f>
        <v>24.273</v>
      </c>
    </row>
    <row r="717" spans="1:9" x14ac:dyDescent="0.25">
      <c r="A717" s="2" t="s">
        <v>750</v>
      </c>
      <c r="B717" s="2" t="s">
        <v>69</v>
      </c>
      <c r="C717" s="2" t="s">
        <v>13</v>
      </c>
      <c r="D717" s="3">
        <v>61.26</v>
      </c>
      <c r="E717" s="11">
        <v>2</v>
      </c>
      <c r="F717" s="9">
        <v>7</v>
      </c>
      <c r="G717" s="2">
        <v>0</v>
      </c>
      <c r="H71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17" s="19">
        <f>Clients[[#This Row],[Facture_Mensuelle]]*Clients[[#This Row],[Remise]]</f>
        <v>27.567</v>
      </c>
    </row>
    <row r="718" spans="1:9" x14ac:dyDescent="0.25">
      <c r="A718" s="2" t="s">
        <v>751</v>
      </c>
      <c r="B718" s="2" t="s">
        <v>48</v>
      </c>
      <c r="C718" s="2" t="s">
        <v>13</v>
      </c>
      <c r="D718" s="3">
        <v>63.74</v>
      </c>
      <c r="E718" s="11">
        <v>1</v>
      </c>
      <c r="F718" s="9">
        <v>4</v>
      </c>
      <c r="G718" s="2">
        <v>3</v>
      </c>
      <c r="H71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18" s="19">
        <f>Clients[[#This Row],[Facture_Mensuelle]]*Clients[[#This Row],[Remise]]</f>
        <v>28.683</v>
      </c>
    </row>
    <row r="719" spans="1:9" x14ac:dyDescent="0.25">
      <c r="A719" s="2" t="s">
        <v>752</v>
      </c>
      <c r="B719" s="2" t="s">
        <v>24</v>
      </c>
      <c r="C719" s="2" t="s">
        <v>10</v>
      </c>
      <c r="D719" s="3">
        <v>88.35</v>
      </c>
      <c r="E719" s="11">
        <v>8</v>
      </c>
      <c r="F719" s="9">
        <v>5</v>
      </c>
      <c r="G719" s="2">
        <v>0</v>
      </c>
      <c r="H71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19" s="19">
        <f>Clients[[#This Row],[Facture_Mensuelle]]*Clients[[#This Row],[Remise]]</f>
        <v>39.7575</v>
      </c>
    </row>
    <row r="720" spans="1:9" x14ac:dyDescent="0.25">
      <c r="A720" s="2" t="s">
        <v>753</v>
      </c>
      <c r="B720" s="2" t="s">
        <v>97</v>
      </c>
      <c r="C720" s="2" t="s">
        <v>13</v>
      </c>
      <c r="D720" s="3">
        <v>67.040000000000006</v>
      </c>
      <c r="E720" s="11">
        <v>3</v>
      </c>
      <c r="F720" s="9">
        <v>1</v>
      </c>
      <c r="G720" s="2">
        <v>1</v>
      </c>
      <c r="H72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20" s="19">
        <f>Clients[[#This Row],[Facture_Mensuelle]]*Clients[[#This Row],[Remise]]</f>
        <v>0</v>
      </c>
    </row>
    <row r="721" spans="1:9" x14ac:dyDescent="0.25">
      <c r="A721" s="2" t="s">
        <v>754</v>
      </c>
      <c r="B721" s="2" t="s">
        <v>48</v>
      </c>
      <c r="C721" s="2" t="s">
        <v>13</v>
      </c>
      <c r="D721" s="3">
        <v>61.57</v>
      </c>
      <c r="E721" s="11">
        <v>7</v>
      </c>
      <c r="F721" s="9">
        <v>8</v>
      </c>
      <c r="G721" s="2">
        <v>0</v>
      </c>
      <c r="H72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21" s="19">
        <f>Clients[[#This Row],[Facture_Mensuelle]]*Clients[[#This Row],[Remise]]</f>
        <v>27.706500000000002</v>
      </c>
    </row>
    <row r="722" spans="1:9" x14ac:dyDescent="0.25">
      <c r="A722" s="2" t="s">
        <v>755</v>
      </c>
      <c r="B722" s="2" t="s">
        <v>9</v>
      </c>
      <c r="C722" s="2" t="s">
        <v>10</v>
      </c>
      <c r="D722" s="3">
        <v>27.33</v>
      </c>
      <c r="E722" s="11">
        <v>9</v>
      </c>
      <c r="F722" s="9">
        <v>0</v>
      </c>
      <c r="G722" s="2">
        <v>5</v>
      </c>
      <c r="H72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722" s="19">
        <f>Clients[[#This Row],[Facture_Mensuelle]]*Clients[[#This Row],[Remise]]</f>
        <v>2.7330000000000001</v>
      </c>
    </row>
    <row r="723" spans="1:9" x14ac:dyDescent="0.25">
      <c r="A723" s="2" t="s">
        <v>756</v>
      </c>
      <c r="B723" s="2" t="s">
        <v>62</v>
      </c>
      <c r="C723" s="2" t="s">
        <v>19</v>
      </c>
      <c r="D723" s="3">
        <v>10.87</v>
      </c>
      <c r="E723" s="11">
        <v>8</v>
      </c>
      <c r="F723" s="9">
        <v>5</v>
      </c>
      <c r="G723" s="2">
        <v>4</v>
      </c>
      <c r="H72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23" s="19">
        <f>Clients[[#This Row],[Facture_Mensuelle]]*Clients[[#This Row],[Remise]]</f>
        <v>4.8914999999999997</v>
      </c>
    </row>
    <row r="724" spans="1:9" x14ac:dyDescent="0.25">
      <c r="A724" s="2" t="s">
        <v>757</v>
      </c>
      <c r="B724" s="2" t="s">
        <v>32</v>
      </c>
      <c r="C724" s="2" t="s">
        <v>10</v>
      </c>
      <c r="D724" s="3">
        <v>61.43</v>
      </c>
      <c r="E724" s="11">
        <v>1</v>
      </c>
      <c r="F724" s="9">
        <v>5</v>
      </c>
      <c r="G724" s="2">
        <v>1</v>
      </c>
      <c r="H72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24" s="19">
        <f>Clients[[#This Row],[Facture_Mensuelle]]*Clients[[#This Row],[Remise]]</f>
        <v>27.6435</v>
      </c>
    </row>
    <row r="725" spans="1:9" x14ac:dyDescent="0.25">
      <c r="A725" s="2" t="s">
        <v>758</v>
      </c>
      <c r="B725" s="2" t="s">
        <v>65</v>
      </c>
      <c r="C725" s="2" t="s">
        <v>19</v>
      </c>
      <c r="D725" s="3">
        <v>21.15</v>
      </c>
      <c r="E725" s="11">
        <v>9</v>
      </c>
      <c r="F725" s="9">
        <v>1</v>
      </c>
      <c r="G725" s="2">
        <v>2</v>
      </c>
      <c r="H72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25" s="19">
        <f>Clients[[#This Row],[Facture_Mensuelle]]*Clients[[#This Row],[Remise]]</f>
        <v>0</v>
      </c>
    </row>
    <row r="726" spans="1:9" x14ac:dyDescent="0.25">
      <c r="A726" s="2" t="s">
        <v>759</v>
      </c>
      <c r="B726" s="2" t="s">
        <v>12</v>
      </c>
      <c r="C726" s="2" t="s">
        <v>19</v>
      </c>
      <c r="D726" s="3">
        <v>53.65</v>
      </c>
      <c r="E726" s="11">
        <v>3</v>
      </c>
      <c r="F726" s="9">
        <v>7</v>
      </c>
      <c r="G726" s="2">
        <v>4</v>
      </c>
      <c r="H72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26" s="19">
        <f>Clients[[#This Row],[Facture_Mensuelle]]*Clients[[#This Row],[Remise]]</f>
        <v>24.142499999999998</v>
      </c>
    </row>
    <row r="727" spans="1:9" x14ac:dyDescent="0.25">
      <c r="A727" s="2" t="s">
        <v>760</v>
      </c>
      <c r="B727" s="2" t="s">
        <v>62</v>
      </c>
      <c r="C727" s="2" t="s">
        <v>19</v>
      </c>
      <c r="D727" s="3">
        <v>84.74</v>
      </c>
      <c r="E727" s="11">
        <v>8</v>
      </c>
      <c r="F727" s="9">
        <v>8</v>
      </c>
      <c r="G727" s="2">
        <v>1</v>
      </c>
      <c r="H72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27" s="19">
        <f>Clients[[#This Row],[Facture_Mensuelle]]*Clients[[#This Row],[Remise]]</f>
        <v>38.132999999999996</v>
      </c>
    </row>
    <row r="728" spans="1:9" x14ac:dyDescent="0.25">
      <c r="A728" s="2" t="s">
        <v>761</v>
      </c>
      <c r="B728" s="2" t="s">
        <v>24</v>
      </c>
      <c r="C728" s="2" t="s">
        <v>7</v>
      </c>
      <c r="D728" s="3">
        <v>36.93</v>
      </c>
      <c r="E728" s="11">
        <v>1</v>
      </c>
      <c r="F728" s="9">
        <v>7</v>
      </c>
      <c r="G728" s="2">
        <v>5</v>
      </c>
      <c r="H72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28" s="19">
        <f>Clients[[#This Row],[Facture_Mensuelle]]*Clients[[#This Row],[Remise]]</f>
        <v>16.618500000000001</v>
      </c>
    </row>
    <row r="729" spans="1:9" x14ac:dyDescent="0.25">
      <c r="A729" s="2" t="s">
        <v>762</v>
      </c>
      <c r="B729" s="2" t="s">
        <v>46</v>
      </c>
      <c r="C729" s="2" t="s">
        <v>10</v>
      </c>
      <c r="D729" s="3">
        <v>33.04</v>
      </c>
      <c r="E729" s="11">
        <v>1</v>
      </c>
      <c r="F729" s="9">
        <v>4</v>
      </c>
      <c r="G729" s="2">
        <v>5</v>
      </c>
      <c r="H72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29" s="19">
        <f>Clients[[#This Row],[Facture_Mensuelle]]*Clients[[#This Row],[Remise]]</f>
        <v>14.868</v>
      </c>
    </row>
    <row r="730" spans="1:9" x14ac:dyDescent="0.25">
      <c r="A730" s="2" t="s">
        <v>763</v>
      </c>
      <c r="B730" s="2" t="s">
        <v>48</v>
      </c>
      <c r="C730" s="2" t="s">
        <v>7</v>
      </c>
      <c r="D730" s="3">
        <v>72.319999999999993</v>
      </c>
      <c r="E730" s="11">
        <v>8</v>
      </c>
      <c r="F730" s="9">
        <v>6</v>
      </c>
      <c r="G730" s="2">
        <v>1</v>
      </c>
      <c r="H73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30" s="19">
        <f>Clients[[#This Row],[Facture_Mensuelle]]*Clients[[#This Row],[Remise]]</f>
        <v>32.543999999999997</v>
      </c>
    </row>
    <row r="731" spans="1:9" x14ac:dyDescent="0.25">
      <c r="A731" s="2" t="s">
        <v>764</v>
      </c>
      <c r="B731" s="2" t="s">
        <v>57</v>
      </c>
      <c r="C731" s="2" t="s">
        <v>19</v>
      </c>
      <c r="D731" s="3">
        <v>15.42</v>
      </c>
      <c r="E731" s="11">
        <v>2</v>
      </c>
      <c r="F731" s="9">
        <v>3</v>
      </c>
      <c r="G731" s="2">
        <v>0</v>
      </c>
      <c r="H73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31" s="19">
        <f>Clients[[#This Row],[Facture_Mensuelle]]*Clients[[#This Row],[Remise]]</f>
        <v>6.9390000000000001</v>
      </c>
    </row>
    <row r="732" spans="1:9" x14ac:dyDescent="0.25">
      <c r="A732" s="2" t="s">
        <v>765</v>
      </c>
      <c r="B732" s="2" t="s">
        <v>48</v>
      </c>
      <c r="C732" s="2" t="s">
        <v>19</v>
      </c>
      <c r="D732" s="3">
        <v>65.41</v>
      </c>
      <c r="E732" s="11">
        <v>5</v>
      </c>
      <c r="F732" s="9">
        <v>8</v>
      </c>
      <c r="G732" s="2">
        <v>5</v>
      </c>
      <c r="H73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32" s="19">
        <f>Clients[[#This Row],[Facture_Mensuelle]]*Clients[[#This Row],[Remise]]</f>
        <v>29.4345</v>
      </c>
    </row>
    <row r="733" spans="1:9" x14ac:dyDescent="0.25">
      <c r="A733" s="2" t="s">
        <v>766</v>
      </c>
      <c r="B733" s="2" t="s">
        <v>44</v>
      </c>
      <c r="C733" s="2" t="s">
        <v>19</v>
      </c>
      <c r="D733" s="3">
        <v>29.18</v>
      </c>
      <c r="E733" s="11">
        <v>9</v>
      </c>
      <c r="F733" s="9">
        <v>4</v>
      </c>
      <c r="G733" s="2">
        <v>2</v>
      </c>
      <c r="H73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33" s="19">
        <f>Clients[[#This Row],[Facture_Mensuelle]]*Clients[[#This Row],[Remise]]</f>
        <v>13.131</v>
      </c>
    </row>
    <row r="734" spans="1:9" x14ac:dyDescent="0.25">
      <c r="A734" s="2" t="s">
        <v>767</v>
      </c>
      <c r="B734" s="2" t="s">
        <v>97</v>
      </c>
      <c r="C734" s="2" t="s">
        <v>7</v>
      </c>
      <c r="D734" s="3">
        <v>53.95</v>
      </c>
      <c r="E734" s="11">
        <v>2</v>
      </c>
      <c r="F734" s="9">
        <v>2</v>
      </c>
      <c r="G734" s="2">
        <v>1</v>
      </c>
      <c r="H73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34" s="19">
        <f>Clients[[#This Row],[Facture_Mensuelle]]*Clients[[#This Row],[Remise]]</f>
        <v>0</v>
      </c>
    </row>
    <row r="735" spans="1:9" x14ac:dyDescent="0.25">
      <c r="A735" s="2" t="s">
        <v>768</v>
      </c>
      <c r="B735" s="2" t="s">
        <v>15</v>
      </c>
      <c r="C735" s="2" t="s">
        <v>7</v>
      </c>
      <c r="D735" s="3">
        <v>76.41</v>
      </c>
      <c r="E735" s="11">
        <v>3</v>
      </c>
      <c r="F735" s="9">
        <v>6</v>
      </c>
      <c r="G735" s="2">
        <v>1</v>
      </c>
      <c r="H73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35" s="19">
        <f>Clients[[#This Row],[Facture_Mensuelle]]*Clients[[#This Row],[Remise]]</f>
        <v>34.384500000000003</v>
      </c>
    </row>
    <row r="736" spans="1:9" x14ac:dyDescent="0.25">
      <c r="A736" s="2" t="s">
        <v>769</v>
      </c>
      <c r="B736" s="2" t="s">
        <v>24</v>
      </c>
      <c r="C736" s="2" t="s">
        <v>7</v>
      </c>
      <c r="D736" s="3">
        <v>38.69</v>
      </c>
      <c r="E736" s="11">
        <v>9</v>
      </c>
      <c r="F736" s="9">
        <v>2</v>
      </c>
      <c r="G736" s="2">
        <v>4</v>
      </c>
      <c r="H73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36" s="19">
        <f>Clients[[#This Row],[Facture_Mensuelle]]*Clients[[#This Row],[Remise]]</f>
        <v>0</v>
      </c>
    </row>
    <row r="737" spans="1:9" x14ac:dyDescent="0.25">
      <c r="A737" s="2" t="s">
        <v>770</v>
      </c>
      <c r="B737" s="2" t="s">
        <v>42</v>
      </c>
      <c r="C737" s="2" t="s">
        <v>7</v>
      </c>
      <c r="D737" s="3">
        <v>83.36</v>
      </c>
      <c r="E737" s="11">
        <v>6</v>
      </c>
      <c r="F737" s="9">
        <v>6</v>
      </c>
      <c r="G737" s="2">
        <v>4</v>
      </c>
      <c r="H73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37" s="19">
        <f>Clients[[#This Row],[Facture_Mensuelle]]*Clients[[#This Row],[Remise]]</f>
        <v>37.512</v>
      </c>
    </row>
    <row r="738" spans="1:9" x14ac:dyDescent="0.25">
      <c r="A738" s="2" t="s">
        <v>771</v>
      </c>
      <c r="B738" s="2" t="s">
        <v>46</v>
      </c>
      <c r="C738" s="2" t="s">
        <v>10</v>
      </c>
      <c r="D738" s="3">
        <v>46.3</v>
      </c>
      <c r="E738" s="11">
        <v>2</v>
      </c>
      <c r="F738" s="9">
        <v>4</v>
      </c>
      <c r="G738" s="2">
        <v>1</v>
      </c>
      <c r="H73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38" s="19">
        <f>Clients[[#This Row],[Facture_Mensuelle]]*Clients[[#This Row],[Remise]]</f>
        <v>20.835000000000001</v>
      </c>
    </row>
    <row r="739" spans="1:9" x14ac:dyDescent="0.25">
      <c r="A739" s="2" t="s">
        <v>772</v>
      </c>
      <c r="B739" s="2" t="s">
        <v>48</v>
      </c>
      <c r="C739" s="2" t="s">
        <v>10</v>
      </c>
      <c r="D739" s="3">
        <v>21.14</v>
      </c>
      <c r="E739" s="11">
        <v>8</v>
      </c>
      <c r="F739" s="9">
        <v>6</v>
      </c>
      <c r="G739" s="2">
        <v>5</v>
      </c>
      <c r="H73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39" s="19">
        <f>Clients[[#This Row],[Facture_Mensuelle]]*Clients[[#This Row],[Remise]]</f>
        <v>9.5129999999999999</v>
      </c>
    </row>
    <row r="740" spans="1:9" x14ac:dyDescent="0.25">
      <c r="A740" s="2" t="s">
        <v>773</v>
      </c>
      <c r="B740" s="2" t="s">
        <v>72</v>
      </c>
      <c r="C740" s="2" t="s">
        <v>10</v>
      </c>
      <c r="D740" s="3">
        <v>69.17</v>
      </c>
      <c r="E740" s="11">
        <v>5</v>
      </c>
      <c r="F740" s="9">
        <v>4</v>
      </c>
      <c r="G740" s="2">
        <v>0</v>
      </c>
      <c r="H74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0" s="19">
        <f>Clients[[#This Row],[Facture_Mensuelle]]*Clients[[#This Row],[Remise]]</f>
        <v>31.1265</v>
      </c>
    </row>
    <row r="741" spans="1:9" x14ac:dyDescent="0.25">
      <c r="A741" s="2" t="s">
        <v>774</v>
      </c>
      <c r="B741" s="2" t="s">
        <v>6</v>
      </c>
      <c r="C741" s="2" t="s">
        <v>13</v>
      </c>
      <c r="D741" s="3">
        <v>27.66</v>
      </c>
      <c r="E741" s="11">
        <v>1</v>
      </c>
      <c r="F741" s="9">
        <v>7</v>
      </c>
      <c r="G741" s="2">
        <v>2</v>
      </c>
      <c r="H74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1" s="19">
        <f>Clients[[#This Row],[Facture_Mensuelle]]*Clients[[#This Row],[Remise]]</f>
        <v>12.447000000000001</v>
      </c>
    </row>
    <row r="742" spans="1:9" x14ac:dyDescent="0.25">
      <c r="A742" s="2" t="s">
        <v>775</v>
      </c>
      <c r="B742" s="2" t="s">
        <v>12</v>
      </c>
      <c r="C742" s="2" t="s">
        <v>10</v>
      </c>
      <c r="D742" s="3">
        <v>70.12</v>
      </c>
      <c r="E742" s="11">
        <v>1</v>
      </c>
      <c r="F742" s="9">
        <v>2</v>
      </c>
      <c r="G742" s="2">
        <v>0</v>
      </c>
      <c r="H742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742" s="19">
        <f>Clients[[#This Row],[Facture_Mensuelle]]*Clients[[#This Row],[Remise]]</f>
        <v>7.0120000000000005</v>
      </c>
    </row>
    <row r="743" spans="1:9" x14ac:dyDescent="0.25">
      <c r="A743" s="2" t="s">
        <v>776</v>
      </c>
      <c r="B743" s="2" t="s">
        <v>59</v>
      </c>
      <c r="C743" s="2" t="s">
        <v>13</v>
      </c>
      <c r="D743" s="3">
        <v>61.92</v>
      </c>
      <c r="E743" s="11">
        <v>7</v>
      </c>
      <c r="F743" s="9">
        <v>2</v>
      </c>
      <c r="G743" s="2">
        <v>4</v>
      </c>
      <c r="H743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0%</v>
      </c>
      <c r="I743" s="19">
        <f>Clients[[#This Row],[Facture_Mensuelle]]*Clients[[#This Row],[Remise]]</f>
        <v>0</v>
      </c>
    </row>
    <row r="744" spans="1:9" x14ac:dyDescent="0.25">
      <c r="A744" s="2" t="s">
        <v>777</v>
      </c>
      <c r="B744" s="2" t="s">
        <v>69</v>
      </c>
      <c r="C744" s="2" t="s">
        <v>7</v>
      </c>
      <c r="D744" s="3">
        <v>39.72</v>
      </c>
      <c r="E744" s="11">
        <v>5</v>
      </c>
      <c r="F744" s="9">
        <v>6</v>
      </c>
      <c r="G744" s="2">
        <v>4</v>
      </c>
      <c r="H744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4" s="19">
        <f>Clients[[#This Row],[Facture_Mensuelle]]*Clients[[#This Row],[Remise]]</f>
        <v>17.873999999999999</v>
      </c>
    </row>
    <row r="745" spans="1:9" x14ac:dyDescent="0.25">
      <c r="A745" s="2" t="s">
        <v>778</v>
      </c>
      <c r="B745" s="2" t="s">
        <v>22</v>
      </c>
      <c r="C745" s="2" t="s">
        <v>7</v>
      </c>
      <c r="D745" s="3">
        <v>58.7</v>
      </c>
      <c r="E745" s="11">
        <v>0</v>
      </c>
      <c r="F745" s="9">
        <v>4</v>
      </c>
      <c r="G745" s="2">
        <v>4</v>
      </c>
      <c r="H745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5" s="19">
        <f>Clients[[#This Row],[Facture_Mensuelle]]*Clients[[#This Row],[Remise]]</f>
        <v>26.415000000000003</v>
      </c>
    </row>
    <row r="746" spans="1:9" x14ac:dyDescent="0.25">
      <c r="A746" s="2" t="s">
        <v>779</v>
      </c>
      <c r="B746" s="2" t="s">
        <v>69</v>
      </c>
      <c r="C746" s="2" t="s">
        <v>10</v>
      </c>
      <c r="D746" s="3">
        <v>51.35</v>
      </c>
      <c r="E746" s="11">
        <v>9</v>
      </c>
      <c r="F746" s="9">
        <v>7</v>
      </c>
      <c r="G746" s="2">
        <v>0</v>
      </c>
      <c r="H746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6" s="19">
        <f>Clients[[#This Row],[Facture_Mensuelle]]*Clients[[#This Row],[Remise]]</f>
        <v>23.107500000000002</v>
      </c>
    </row>
    <row r="747" spans="1:9" x14ac:dyDescent="0.25">
      <c r="A747" s="2" t="s">
        <v>780</v>
      </c>
      <c r="B747" s="2" t="s">
        <v>9</v>
      </c>
      <c r="C747" s="2" t="s">
        <v>13</v>
      </c>
      <c r="D747" s="3">
        <v>24.83</v>
      </c>
      <c r="E747" s="11">
        <v>8</v>
      </c>
      <c r="F747" s="9">
        <v>4</v>
      </c>
      <c r="G747" s="2">
        <v>4</v>
      </c>
      <c r="H747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7" s="19">
        <f>Clients[[#This Row],[Facture_Mensuelle]]*Clients[[#This Row],[Remise]]</f>
        <v>11.173499999999999</v>
      </c>
    </row>
    <row r="748" spans="1:9" x14ac:dyDescent="0.25">
      <c r="A748" s="2" t="s">
        <v>781</v>
      </c>
      <c r="B748" s="2" t="s">
        <v>9</v>
      </c>
      <c r="C748" s="2" t="s">
        <v>13</v>
      </c>
      <c r="D748" s="3">
        <v>55.3</v>
      </c>
      <c r="E748" s="11">
        <v>2</v>
      </c>
      <c r="F748" s="9">
        <v>4</v>
      </c>
      <c r="G748" s="2">
        <v>4</v>
      </c>
      <c r="H748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8" s="19">
        <f>Clients[[#This Row],[Facture_Mensuelle]]*Clients[[#This Row],[Remise]]</f>
        <v>24.884999999999998</v>
      </c>
    </row>
    <row r="749" spans="1:9" x14ac:dyDescent="0.25">
      <c r="A749" s="2" t="s">
        <v>782</v>
      </c>
      <c r="B749" s="2" t="s">
        <v>24</v>
      </c>
      <c r="C749" s="2" t="s">
        <v>19</v>
      </c>
      <c r="D749" s="3">
        <v>93.81</v>
      </c>
      <c r="E749" s="11">
        <v>0</v>
      </c>
      <c r="F749" s="9">
        <v>1</v>
      </c>
      <c r="G749" s="2">
        <v>3</v>
      </c>
      <c r="H749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49" s="19">
        <f>Clients[[#This Row],[Facture_Mensuelle]]*Clients[[#This Row],[Remise]]</f>
        <v>42.214500000000001</v>
      </c>
    </row>
    <row r="750" spans="1:9" x14ac:dyDescent="0.25">
      <c r="A750" s="2" t="s">
        <v>783</v>
      </c>
      <c r="B750" s="2" t="s">
        <v>65</v>
      </c>
      <c r="C750" s="2" t="s">
        <v>10</v>
      </c>
      <c r="D750" s="3">
        <v>83.95</v>
      </c>
      <c r="E750" s="11">
        <v>1</v>
      </c>
      <c r="F750" s="9">
        <v>6</v>
      </c>
      <c r="G750" s="2">
        <v>4</v>
      </c>
      <c r="H750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45%</v>
      </c>
      <c r="I750" s="19">
        <f>Clients[[#This Row],[Facture_Mensuelle]]*Clients[[#This Row],[Remise]]</f>
        <v>37.777500000000003</v>
      </c>
    </row>
    <row r="751" spans="1:9" x14ac:dyDescent="0.25">
      <c r="A751" s="2" t="s">
        <v>784</v>
      </c>
      <c r="B751" s="2" t="s">
        <v>48</v>
      </c>
      <c r="C751" s="2" t="s">
        <v>10</v>
      </c>
      <c r="D751" s="3">
        <v>28.35</v>
      </c>
      <c r="E751" s="11">
        <v>4</v>
      </c>
      <c r="F751" s="9">
        <v>2</v>
      </c>
      <c r="G751" s="2">
        <v>1</v>
      </c>
      <c r="H751" s="4" t="str">
        <f>IF(AND(Clients[[#This Row],[Durée_Cumulée_Panne_Heure]]&gt;12,Clients[[#This Row],[Ancienneté_Année]]&gt;5),"70%",IF(OR(AND(Clients[[#This Row],[Durée_Cumulée_Panne_Heure]]&gt;=4,Clients[[#This Row],[Durée_Cumulée_Panne_Heure]]&lt;=12),AND(Clients[[#This Row],[Ancienneté_Année]]&lt;5,Clients[[#This Row],[Type_Forfait]]="Premium 5G 150Go")),"45%",IF(Clients[[#This Row],[Type_Forfait]]="Pro Monde","10%","0%")))</f>
        <v>10%</v>
      </c>
      <c r="I751" s="19">
        <f>Clients[[#This Row],[Facture_Mensuelle]]*Clients[[#This Row],[Remise]]</f>
        <v>2.8350000000000004</v>
      </c>
    </row>
    <row r="752" spans="1:9" x14ac:dyDescent="0.25">
      <c r="A752" s="2" t="s">
        <v>787</v>
      </c>
      <c r="B752" s="2"/>
      <c r="C752" s="2"/>
      <c r="D752" s="3">
        <f>SUM(D2:D751)</f>
        <v>40865.540000000015</v>
      </c>
      <c r="E752" s="11">
        <f>SUBTOTAL(109,Clients[Ancienneté_Année])</f>
        <v>3742</v>
      </c>
      <c r="F752" s="9">
        <f>SUBTOTAL(109,Clients[Durée_Cumulée_Panne_Heure])</f>
        <v>3037</v>
      </c>
      <c r="G752" s="2">
        <f>SUBTOTAL(109,Clients[Plaintes_Service_Client])</f>
        <v>1829</v>
      </c>
      <c r="H752" s="4"/>
      <c r="I752" s="19">
        <f>SUBTOTAL(109,Clients[Perte_Financière])</f>
        <v>11659.466000000006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C6052D-1BDD-467E-8040-6FE50759DE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LogVsRegistre</vt:lpstr>
      <vt:lpstr>Synthèse Macroscopique</vt:lpstr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Wesly HELLO</dc:creator>
  <cp:lastModifiedBy>Wesly HELLO</cp:lastModifiedBy>
  <dcterms:created xsi:type="dcterms:W3CDTF">2026-03-22T21:55:08Z</dcterms:created>
  <dcterms:modified xsi:type="dcterms:W3CDTF">2026-03-31T22:16:36Z</dcterms:modified>
</cp:coreProperties>
</file>